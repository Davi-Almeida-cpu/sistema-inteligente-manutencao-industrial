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362" documentId="11_92485C45C1F39E42E268565A893E8C18510380CC" xr6:coauthVersionLast="47" xr6:coauthVersionMax="47" xr10:uidLastSave="{A9AF140E-B722-48A2-86F1-D2D55C5C866B}"/>
  <bookViews>
    <workbookView xWindow="240" yWindow="105" windowWidth="14805" windowHeight="8010" firstSheet="4" activeTab="4" xr2:uid="{00000000-000D-0000-FFFF-FFFF00000000}"/>
  </bookViews>
  <sheets>
    <sheet name="Equipamentos" sheetId="1" r:id="rId1"/>
    <sheet name="Leituras" sheetId="2" r:id="rId2"/>
    <sheet name="Manutenções " sheetId="3" r:id="rId3"/>
    <sheet name="Fórmulas " sheetId="4" r:id="rId4"/>
    <sheet name="Analise_Excel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5" i="5" l="1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4" i="5"/>
  <c r="Q25" i="5"/>
  <c r="P25" i="5"/>
  <c r="O25" i="5"/>
  <c r="Q20" i="5"/>
  <c r="Q8" i="5"/>
  <c r="Q16" i="5"/>
  <c r="Q17" i="5"/>
  <c r="Q14" i="5"/>
  <c r="Q11" i="5"/>
  <c r="Q4" i="5"/>
  <c r="Q7" i="5"/>
  <c r="Q22" i="5"/>
  <c r="Q12" i="5"/>
  <c r="Q9" i="5"/>
  <c r="Q5" i="5"/>
  <c r="Q13" i="5"/>
  <c r="Q6" i="5"/>
  <c r="Q19" i="5"/>
  <c r="Q15" i="5"/>
  <c r="Q18" i="5"/>
  <c r="Q21" i="5"/>
  <c r="Q23" i="5"/>
  <c r="Q10" i="5"/>
  <c r="P20" i="5"/>
  <c r="P8" i="5"/>
  <c r="P16" i="5"/>
  <c r="P17" i="5"/>
  <c r="P14" i="5"/>
  <c r="P11" i="5"/>
  <c r="P4" i="5"/>
  <c r="P7" i="5"/>
  <c r="P22" i="5"/>
  <c r="P12" i="5"/>
  <c r="P9" i="5"/>
  <c r="P5" i="5"/>
  <c r="P13" i="5"/>
  <c r="P6" i="5"/>
  <c r="P19" i="5"/>
  <c r="P15" i="5"/>
  <c r="P18" i="5"/>
  <c r="P21" i="5"/>
  <c r="P23" i="5"/>
  <c r="P10" i="5"/>
  <c r="O20" i="5"/>
  <c r="O8" i="5"/>
  <c r="O16" i="5"/>
  <c r="O17" i="5"/>
  <c r="O14" i="5"/>
  <c r="O11" i="5"/>
  <c r="O4" i="5"/>
  <c r="O7" i="5"/>
  <c r="O22" i="5"/>
  <c r="O12" i="5"/>
  <c r="O9" i="5"/>
  <c r="O5" i="5"/>
  <c r="O13" i="5"/>
  <c r="O6" i="5"/>
  <c r="O19" i="5"/>
  <c r="O15" i="5"/>
  <c r="O18" i="5"/>
  <c r="O21" i="5"/>
  <c r="O23" i="5"/>
  <c r="O10" i="5"/>
  <c r="B13" i="5"/>
  <c r="I13" i="5"/>
  <c r="I12" i="5"/>
  <c r="I11" i="5"/>
  <c r="L6" i="5"/>
  <c r="L7" i="5"/>
  <c r="L5" i="5"/>
  <c r="K6" i="5"/>
  <c r="K7" i="5"/>
  <c r="K5" i="5"/>
  <c r="J6" i="5"/>
  <c r="J7" i="5"/>
  <c r="J5" i="5"/>
  <c r="I7" i="5"/>
  <c r="I6" i="5"/>
  <c r="H7" i="5"/>
  <c r="H6" i="5"/>
  <c r="I5" i="5"/>
  <c r="H5" i="5"/>
  <c r="F8" i="5"/>
  <c r="F9" i="5"/>
  <c r="F10" i="5"/>
  <c r="F11" i="5"/>
  <c r="F12" i="5"/>
  <c r="F13" i="5"/>
  <c r="F5" i="5"/>
  <c r="F14" i="5"/>
  <c r="F15" i="5"/>
  <c r="F16" i="5"/>
  <c r="F17" i="5"/>
  <c r="F4" i="5"/>
  <c r="F18" i="5"/>
  <c r="F6" i="5"/>
  <c r="F19" i="5"/>
  <c r="F20" i="5"/>
  <c r="F21" i="5"/>
  <c r="F22" i="5"/>
  <c r="F23" i="5"/>
  <c r="F7" i="5"/>
  <c r="F25" i="5" s="1"/>
  <c r="C5" i="5"/>
  <c r="C6" i="5"/>
  <c r="C4" i="5"/>
  <c r="B8" i="5"/>
  <c r="B5" i="5"/>
  <c r="B6" i="5"/>
  <c r="B4" i="5"/>
</calcChain>
</file>

<file path=xl/sharedStrings.xml><?xml version="1.0" encoding="utf-8"?>
<sst xmlns="http://schemas.openxmlformats.org/spreadsheetml/2006/main" count="2269" uniqueCount="745">
  <si>
    <t>id_equipamento</t>
  </si>
  <si>
    <t>equipamento</t>
  </si>
  <si>
    <t>tipo</t>
  </si>
  <si>
    <t>setor</t>
  </si>
  <si>
    <t>criticidade</t>
  </si>
  <si>
    <t>ano_instalacao</t>
  </si>
  <si>
    <t>temp_limite_c</t>
  </si>
  <si>
    <t>vibracao_limite_mm_s</t>
  </si>
  <si>
    <t>EQ001</t>
  </si>
  <si>
    <t>Motor Principal 01</t>
  </si>
  <si>
    <t>Motor</t>
  </si>
  <si>
    <t>Produção</t>
  </si>
  <si>
    <t>Alta</t>
  </si>
  <si>
    <t>EQ002</t>
  </si>
  <si>
    <t>Motor Principal 02</t>
  </si>
  <si>
    <t>EQ003</t>
  </si>
  <si>
    <t>Motor Auxiliar 01</t>
  </si>
  <si>
    <t>Média</t>
  </si>
  <si>
    <t>EQ004</t>
  </si>
  <si>
    <t>Motor Auxiliar 02</t>
  </si>
  <si>
    <t>EQ005</t>
  </si>
  <si>
    <t>Bomba Centrífuga 01</t>
  </si>
  <si>
    <t>Bomba</t>
  </si>
  <si>
    <t>Utilidades</t>
  </si>
  <si>
    <t>EQ006</t>
  </si>
  <si>
    <t>Bomba Centrífuga 02</t>
  </si>
  <si>
    <t>EQ007</t>
  </si>
  <si>
    <t>Bomba de Processo 01</t>
  </si>
  <si>
    <t>EQ008</t>
  </si>
  <si>
    <t>Compressor 01</t>
  </si>
  <si>
    <t>Compressor</t>
  </si>
  <si>
    <t>EQ009</t>
  </si>
  <si>
    <t>Compressor 02</t>
  </si>
  <si>
    <t>EQ010</t>
  </si>
  <si>
    <t>Esteira Transportadora 01</t>
  </si>
  <si>
    <t>Esteira</t>
  </si>
  <si>
    <t>EQ011</t>
  </si>
  <si>
    <t>Esteira Transportadora 02</t>
  </si>
  <si>
    <t>EQ012</t>
  </si>
  <si>
    <t>Esteira Transportadora 03</t>
  </si>
  <si>
    <t>Expedição</t>
  </si>
  <si>
    <t>Baixa</t>
  </si>
  <si>
    <t>EQ013</t>
  </si>
  <si>
    <t>Redutor 01</t>
  </si>
  <si>
    <t>Redutor</t>
  </si>
  <si>
    <t>EQ014</t>
  </si>
  <si>
    <t>Redutor 02</t>
  </si>
  <si>
    <t>EQ015</t>
  </si>
  <si>
    <t>Máquina de Processo 01</t>
  </si>
  <si>
    <t>Máquina</t>
  </si>
  <si>
    <t>EQ016</t>
  </si>
  <si>
    <t>Máquina de Processo 02</t>
  </si>
  <si>
    <t>EQ017</t>
  </si>
  <si>
    <t>Ventilador Industrial 01</t>
  </si>
  <si>
    <t>Ventilador</t>
  </si>
  <si>
    <t>EQ018</t>
  </si>
  <si>
    <t>Ventilador Industrial 02</t>
  </si>
  <si>
    <t>EQ019</t>
  </si>
  <si>
    <t>Painel de Acionamento 01</t>
  </si>
  <si>
    <t>Painel</t>
  </si>
  <si>
    <t>EQ020</t>
  </si>
  <si>
    <t>Painel de Acionamento 02</t>
  </si>
  <si>
    <t>id_leitura</t>
  </si>
  <si>
    <t>data_hora</t>
  </si>
  <si>
    <t>horas_operacao</t>
  </si>
  <si>
    <t>temperatura_c</t>
  </si>
  <si>
    <t>vibracao_mm_s</t>
  </si>
  <si>
    <t>corrente_a</t>
  </si>
  <si>
    <t>status</t>
  </si>
  <si>
    <t>L0001</t>
  </si>
  <si>
    <t>Normal</t>
  </si>
  <si>
    <t>L0002</t>
  </si>
  <si>
    <t>L0003</t>
  </si>
  <si>
    <t>L0004</t>
  </si>
  <si>
    <t>L0005</t>
  </si>
  <si>
    <t>L0006</t>
  </si>
  <si>
    <t>L0007</t>
  </si>
  <si>
    <t>L0008</t>
  </si>
  <si>
    <t>Crítico</t>
  </si>
  <si>
    <t>L0009</t>
  </si>
  <si>
    <t>L0010</t>
  </si>
  <si>
    <t>L0011</t>
  </si>
  <si>
    <t>L0012</t>
  </si>
  <si>
    <t>L0013</t>
  </si>
  <si>
    <t>Atenção</t>
  </si>
  <si>
    <t>L0014</t>
  </si>
  <si>
    <t>L0015</t>
  </si>
  <si>
    <t>L0016</t>
  </si>
  <si>
    <t>L0017</t>
  </si>
  <si>
    <t>L0018</t>
  </si>
  <si>
    <t>L0019</t>
  </si>
  <si>
    <t>L0020</t>
  </si>
  <si>
    <t>L0021</t>
  </si>
  <si>
    <t>L0022</t>
  </si>
  <si>
    <t>L0023</t>
  </si>
  <si>
    <t>L0024</t>
  </si>
  <si>
    <t>L0025</t>
  </si>
  <si>
    <t>L0026</t>
  </si>
  <si>
    <t>L0027</t>
  </si>
  <si>
    <t>L0028</t>
  </si>
  <si>
    <t>L0029</t>
  </si>
  <si>
    <t>L0030</t>
  </si>
  <si>
    <t>L0031</t>
  </si>
  <si>
    <t>L0032</t>
  </si>
  <si>
    <t>L0033</t>
  </si>
  <si>
    <t>L0034</t>
  </si>
  <si>
    <t>L0035</t>
  </si>
  <si>
    <t>L0036</t>
  </si>
  <si>
    <t>L0037</t>
  </si>
  <si>
    <t>L0038</t>
  </si>
  <si>
    <t>L0039</t>
  </si>
  <si>
    <t>L0040</t>
  </si>
  <si>
    <t>L0041</t>
  </si>
  <si>
    <t>L0042</t>
  </si>
  <si>
    <t>L0043</t>
  </si>
  <si>
    <t>L0044</t>
  </si>
  <si>
    <t>L0045</t>
  </si>
  <si>
    <t>L0046</t>
  </si>
  <si>
    <t>L0047</t>
  </si>
  <si>
    <t>L0048</t>
  </si>
  <si>
    <t>L0049</t>
  </si>
  <si>
    <t>L0050</t>
  </si>
  <si>
    <t>L0051</t>
  </si>
  <si>
    <t>L0052</t>
  </si>
  <si>
    <t>L0053</t>
  </si>
  <si>
    <t>L0054</t>
  </si>
  <si>
    <t>L0055</t>
  </si>
  <si>
    <t>L0056</t>
  </si>
  <si>
    <t>L0057</t>
  </si>
  <si>
    <t>L0058</t>
  </si>
  <si>
    <t>L0059</t>
  </si>
  <si>
    <t>L0060</t>
  </si>
  <si>
    <t>L0061</t>
  </si>
  <si>
    <t>L0062</t>
  </si>
  <si>
    <t>L0063</t>
  </si>
  <si>
    <t>L0064</t>
  </si>
  <si>
    <t>L0065</t>
  </si>
  <si>
    <t>L0066</t>
  </si>
  <si>
    <t>L0067</t>
  </si>
  <si>
    <t>L0068</t>
  </si>
  <si>
    <t>L0069</t>
  </si>
  <si>
    <t>L0070</t>
  </si>
  <si>
    <t>L0071</t>
  </si>
  <si>
    <t>L0072</t>
  </si>
  <si>
    <t>L0073</t>
  </si>
  <si>
    <t>L0074</t>
  </si>
  <si>
    <t>L0075</t>
  </si>
  <si>
    <t>L0076</t>
  </si>
  <si>
    <t>L0077</t>
  </si>
  <si>
    <t>L0078</t>
  </si>
  <si>
    <t>L0079</t>
  </si>
  <si>
    <t>L0080</t>
  </si>
  <si>
    <t>L0081</t>
  </si>
  <si>
    <t>L0082</t>
  </si>
  <si>
    <t>L0083</t>
  </si>
  <si>
    <t>L0084</t>
  </si>
  <si>
    <t>L0085</t>
  </si>
  <si>
    <t>L0086</t>
  </si>
  <si>
    <t>L0087</t>
  </si>
  <si>
    <t>L0088</t>
  </si>
  <si>
    <t>L0089</t>
  </si>
  <si>
    <t>L0090</t>
  </si>
  <si>
    <t>L0091</t>
  </si>
  <si>
    <t>L0092</t>
  </si>
  <si>
    <t>L0093</t>
  </si>
  <si>
    <t>L0094</t>
  </si>
  <si>
    <t>L0095</t>
  </si>
  <si>
    <t>L0096</t>
  </si>
  <si>
    <t>L0097</t>
  </si>
  <si>
    <t>L0098</t>
  </si>
  <si>
    <t>L0099</t>
  </si>
  <si>
    <t>L0100</t>
  </si>
  <si>
    <t>L0101</t>
  </si>
  <si>
    <t>L0102</t>
  </si>
  <si>
    <t>L0103</t>
  </si>
  <si>
    <t>L0104</t>
  </si>
  <si>
    <t>L0105</t>
  </si>
  <si>
    <t>L0106</t>
  </si>
  <si>
    <t>L0107</t>
  </si>
  <si>
    <t>L0108</t>
  </si>
  <si>
    <t>L0109</t>
  </si>
  <si>
    <t>L0110</t>
  </si>
  <si>
    <t>L0111</t>
  </si>
  <si>
    <t>L0112</t>
  </si>
  <si>
    <t>L0113</t>
  </si>
  <si>
    <t>L0114</t>
  </si>
  <si>
    <t>L0115</t>
  </si>
  <si>
    <t>L0116</t>
  </si>
  <si>
    <t>L0117</t>
  </si>
  <si>
    <t>L0118</t>
  </si>
  <si>
    <t>L0119</t>
  </si>
  <si>
    <t>L0120</t>
  </si>
  <si>
    <t>L0121</t>
  </si>
  <si>
    <t>L0122</t>
  </si>
  <si>
    <t>L0123</t>
  </si>
  <si>
    <t>L0124</t>
  </si>
  <si>
    <t>L0125</t>
  </si>
  <si>
    <t>L0126</t>
  </si>
  <si>
    <t>L0127</t>
  </si>
  <si>
    <t>L0128</t>
  </si>
  <si>
    <t>L0129</t>
  </si>
  <si>
    <t>L0130</t>
  </si>
  <si>
    <t>L0131</t>
  </si>
  <si>
    <t>L0132</t>
  </si>
  <si>
    <t>L0133</t>
  </si>
  <si>
    <t>L0134</t>
  </si>
  <si>
    <t>L0135</t>
  </si>
  <si>
    <t>L0136</t>
  </si>
  <si>
    <t>L0137</t>
  </si>
  <si>
    <t>L0138</t>
  </si>
  <si>
    <t>L0139</t>
  </si>
  <si>
    <t>L0140</t>
  </si>
  <si>
    <t>L0141</t>
  </si>
  <si>
    <t>L0142</t>
  </si>
  <si>
    <t>L0143</t>
  </si>
  <si>
    <t>L0144</t>
  </si>
  <si>
    <t>L0145</t>
  </si>
  <si>
    <t>L0146</t>
  </si>
  <si>
    <t>L0147</t>
  </si>
  <si>
    <t>L0148</t>
  </si>
  <si>
    <t>L0149</t>
  </si>
  <si>
    <t>L0150</t>
  </si>
  <si>
    <t>L0151</t>
  </si>
  <si>
    <t>L0152</t>
  </si>
  <si>
    <t>L0153</t>
  </si>
  <si>
    <t>L0154</t>
  </si>
  <si>
    <t>L0155</t>
  </si>
  <si>
    <t>L0156</t>
  </si>
  <si>
    <t>L0157</t>
  </si>
  <si>
    <t>L0158</t>
  </si>
  <si>
    <t>L0159</t>
  </si>
  <si>
    <t>L0160</t>
  </si>
  <si>
    <t>L0161</t>
  </si>
  <si>
    <t>L0162</t>
  </si>
  <si>
    <t>L0163</t>
  </si>
  <si>
    <t>L0164</t>
  </si>
  <si>
    <t>L0165</t>
  </si>
  <si>
    <t>L0166</t>
  </si>
  <si>
    <t>L0167</t>
  </si>
  <si>
    <t>L0168</t>
  </si>
  <si>
    <t>L0169</t>
  </si>
  <si>
    <t>L0170</t>
  </si>
  <si>
    <t>L0171</t>
  </si>
  <si>
    <t>L0172</t>
  </si>
  <si>
    <t>L0173</t>
  </si>
  <si>
    <t>L0174</t>
  </si>
  <si>
    <t>L0175</t>
  </si>
  <si>
    <t>L0176</t>
  </si>
  <si>
    <t>L0177</t>
  </si>
  <si>
    <t>L0178</t>
  </si>
  <si>
    <t>L0179</t>
  </si>
  <si>
    <t>L0180</t>
  </si>
  <si>
    <t>L0181</t>
  </si>
  <si>
    <t>L0182</t>
  </si>
  <si>
    <t>L0183</t>
  </si>
  <si>
    <t>L0184</t>
  </si>
  <si>
    <t>L0185</t>
  </si>
  <si>
    <t>L0186</t>
  </si>
  <si>
    <t>L0187</t>
  </si>
  <si>
    <t>L0188</t>
  </si>
  <si>
    <t>L0189</t>
  </si>
  <si>
    <t>L0190</t>
  </si>
  <si>
    <t>L0191</t>
  </si>
  <si>
    <t>L0192</t>
  </si>
  <si>
    <t>L0193</t>
  </si>
  <si>
    <t>L0194</t>
  </si>
  <si>
    <t>L0195</t>
  </si>
  <si>
    <t>L0196</t>
  </si>
  <si>
    <t>L0197</t>
  </si>
  <si>
    <t>L0198</t>
  </si>
  <si>
    <t>L0199</t>
  </si>
  <si>
    <t>L0200</t>
  </si>
  <si>
    <t>L0201</t>
  </si>
  <si>
    <t>L0202</t>
  </si>
  <si>
    <t>L0203</t>
  </si>
  <si>
    <t>L0204</t>
  </si>
  <si>
    <t>L0205</t>
  </si>
  <si>
    <t>L0206</t>
  </si>
  <si>
    <t>L0207</t>
  </si>
  <si>
    <t>L0208</t>
  </si>
  <si>
    <t>L0209</t>
  </si>
  <si>
    <t>L0210</t>
  </si>
  <si>
    <t>L0211</t>
  </si>
  <si>
    <t>L0212</t>
  </si>
  <si>
    <t>L0213</t>
  </si>
  <si>
    <t>L0214</t>
  </si>
  <si>
    <t>L0215</t>
  </si>
  <si>
    <t>L0216</t>
  </si>
  <si>
    <t>L0217</t>
  </si>
  <si>
    <t>L0218</t>
  </si>
  <si>
    <t>L0219</t>
  </si>
  <si>
    <t>L0220</t>
  </si>
  <si>
    <t>L0221</t>
  </si>
  <si>
    <t>L0222</t>
  </si>
  <si>
    <t>L0223</t>
  </si>
  <si>
    <t>L0224</t>
  </si>
  <si>
    <t>L0225</t>
  </si>
  <si>
    <t>L0226</t>
  </si>
  <si>
    <t>L0227</t>
  </si>
  <si>
    <t>L0228</t>
  </si>
  <si>
    <t>L0229</t>
  </si>
  <si>
    <t>L0230</t>
  </si>
  <si>
    <t>L0231</t>
  </si>
  <si>
    <t>L0232</t>
  </si>
  <si>
    <t>L0233</t>
  </si>
  <si>
    <t>L0234</t>
  </si>
  <si>
    <t>L0235</t>
  </si>
  <si>
    <t>L0236</t>
  </si>
  <si>
    <t>L0237</t>
  </si>
  <si>
    <t>L0238</t>
  </si>
  <si>
    <t>L0239</t>
  </si>
  <si>
    <t>L0240</t>
  </si>
  <si>
    <t>L0241</t>
  </si>
  <si>
    <t>L0242</t>
  </si>
  <si>
    <t>L0243</t>
  </si>
  <si>
    <t>L0244</t>
  </si>
  <si>
    <t>L0245</t>
  </si>
  <si>
    <t>L0246</t>
  </si>
  <si>
    <t>L0247</t>
  </si>
  <si>
    <t>L0248</t>
  </si>
  <si>
    <t>L0249</t>
  </si>
  <si>
    <t>L0250</t>
  </si>
  <si>
    <t>L0251</t>
  </si>
  <si>
    <t>L0252</t>
  </si>
  <si>
    <t>L0253</t>
  </si>
  <si>
    <t>L0254</t>
  </si>
  <si>
    <t>L0255</t>
  </si>
  <si>
    <t>L0256</t>
  </si>
  <si>
    <t>L0257</t>
  </si>
  <si>
    <t>L0258</t>
  </si>
  <si>
    <t>L0259</t>
  </si>
  <si>
    <t>L0260</t>
  </si>
  <si>
    <t>L0261</t>
  </si>
  <si>
    <t>L0262</t>
  </si>
  <si>
    <t>L0263</t>
  </si>
  <si>
    <t>L0264</t>
  </si>
  <si>
    <t>L0265</t>
  </si>
  <si>
    <t>L0266</t>
  </si>
  <si>
    <t>L0267</t>
  </si>
  <si>
    <t>L0268</t>
  </si>
  <si>
    <t>L0269</t>
  </si>
  <si>
    <t>L0270</t>
  </si>
  <si>
    <t>L0271</t>
  </si>
  <si>
    <t>L0272</t>
  </si>
  <si>
    <t>L0273</t>
  </si>
  <si>
    <t>L0274</t>
  </si>
  <si>
    <t>L0275</t>
  </si>
  <si>
    <t>L0276</t>
  </si>
  <si>
    <t>L0277</t>
  </si>
  <si>
    <t>L0278</t>
  </si>
  <si>
    <t>L0279</t>
  </si>
  <si>
    <t>L0280</t>
  </si>
  <si>
    <t>L0281</t>
  </si>
  <si>
    <t>L0282</t>
  </si>
  <si>
    <t>L0283</t>
  </si>
  <si>
    <t>L0284</t>
  </si>
  <si>
    <t>L0285</t>
  </si>
  <si>
    <t>L0286</t>
  </si>
  <si>
    <t>L0287</t>
  </si>
  <si>
    <t>L0288</t>
  </si>
  <si>
    <t>L0289</t>
  </si>
  <si>
    <t>L0290</t>
  </si>
  <si>
    <t>L0291</t>
  </si>
  <si>
    <t>L0292</t>
  </si>
  <si>
    <t>L0293</t>
  </si>
  <si>
    <t>L0294</t>
  </si>
  <si>
    <t>L0295</t>
  </si>
  <si>
    <t>L0296</t>
  </si>
  <si>
    <t>L0297</t>
  </si>
  <si>
    <t>L0298</t>
  </si>
  <si>
    <t>L0299</t>
  </si>
  <si>
    <t>L0300</t>
  </si>
  <si>
    <t>L0301</t>
  </si>
  <si>
    <t>L0302</t>
  </si>
  <si>
    <t>L0303</t>
  </si>
  <si>
    <t>L0304</t>
  </si>
  <si>
    <t>L0305</t>
  </si>
  <si>
    <t>L0306</t>
  </si>
  <si>
    <t>L0307</t>
  </si>
  <si>
    <t>L0308</t>
  </si>
  <si>
    <t>L0309</t>
  </si>
  <si>
    <t>L0310</t>
  </si>
  <si>
    <t>L0311</t>
  </si>
  <si>
    <t>L0312</t>
  </si>
  <si>
    <t>L0313</t>
  </si>
  <si>
    <t>L0314</t>
  </si>
  <si>
    <t>L0315</t>
  </si>
  <si>
    <t>L0316</t>
  </si>
  <si>
    <t>L0317</t>
  </si>
  <si>
    <t>L0318</t>
  </si>
  <si>
    <t>L0319</t>
  </si>
  <si>
    <t>L0320</t>
  </si>
  <si>
    <t>L0321</t>
  </si>
  <si>
    <t>L0322</t>
  </si>
  <si>
    <t>L0323</t>
  </si>
  <si>
    <t>L0324</t>
  </si>
  <si>
    <t>L0325</t>
  </si>
  <si>
    <t>L0326</t>
  </si>
  <si>
    <t>L0327</t>
  </si>
  <si>
    <t>L0328</t>
  </si>
  <si>
    <t>L0329</t>
  </si>
  <si>
    <t>L0330</t>
  </si>
  <si>
    <t>L0331</t>
  </si>
  <si>
    <t>L0332</t>
  </si>
  <si>
    <t>L0333</t>
  </si>
  <si>
    <t>L0334</t>
  </si>
  <si>
    <t>L0335</t>
  </si>
  <si>
    <t>L0336</t>
  </si>
  <si>
    <t>L0337</t>
  </si>
  <si>
    <t>L0338</t>
  </si>
  <si>
    <t>L0339</t>
  </si>
  <si>
    <t>L0340</t>
  </si>
  <si>
    <t>L0341</t>
  </si>
  <si>
    <t>L0342</t>
  </si>
  <si>
    <t>L0343</t>
  </si>
  <si>
    <t>L0344</t>
  </si>
  <si>
    <t>L0345</t>
  </si>
  <si>
    <t>L0346</t>
  </si>
  <si>
    <t>L0347</t>
  </si>
  <si>
    <t>L0348</t>
  </si>
  <si>
    <t>L0349</t>
  </si>
  <si>
    <t>L0350</t>
  </si>
  <si>
    <t>L0351</t>
  </si>
  <si>
    <t>L0352</t>
  </si>
  <si>
    <t>L0353</t>
  </si>
  <si>
    <t>L0354</t>
  </si>
  <si>
    <t>L0355</t>
  </si>
  <si>
    <t>L0356</t>
  </si>
  <si>
    <t>L0357</t>
  </si>
  <si>
    <t>L0358</t>
  </si>
  <si>
    <t>L0359</t>
  </si>
  <si>
    <t>L0360</t>
  </si>
  <si>
    <t>L0361</t>
  </si>
  <si>
    <t>L0362</t>
  </si>
  <si>
    <t>L0363</t>
  </si>
  <si>
    <t>L0364</t>
  </si>
  <si>
    <t>L0365</t>
  </si>
  <si>
    <t>L0366</t>
  </si>
  <si>
    <t>L0367</t>
  </si>
  <si>
    <t>L0368</t>
  </si>
  <si>
    <t>L0369</t>
  </si>
  <si>
    <t>L0370</t>
  </si>
  <si>
    <t>L0371</t>
  </si>
  <si>
    <t>L0372</t>
  </si>
  <si>
    <t>L0373</t>
  </si>
  <si>
    <t>L0374</t>
  </si>
  <si>
    <t>L0375</t>
  </si>
  <si>
    <t>L0376</t>
  </si>
  <si>
    <t>L0377</t>
  </si>
  <si>
    <t>L0378</t>
  </si>
  <si>
    <t>L0379</t>
  </si>
  <si>
    <t>L0380</t>
  </si>
  <si>
    <t>L0381</t>
  </si>
  <si>
    <t>L0382</t>
  </si>
  <si>
    <t>L0383</t>
  </si>
  <si>
    <t>L0384</t>
  </si>
  <si>
    <t>L0385</t>
  </si>
  <si>
    <t>L0386</t>
  </si>
  <si>
    <t>L0387</t>
  </si>
  <si>
    <t>L0388</t>
  </si>
  <si>
    <t>L0389</t>
  </si>
  <si>
    <t>L0390</t>
  </si>
  <si>
    <t>L0391</t>
  </si>
  <si>
    <t>L0392</t>
  </si>
  <si>
    <t>L0393</t>
  </si>
  <si>
    <t>L0394</t>
  </si>
  <si>
    <t>L0395</t>
  </si>
  <si>
    <t>L0396</t>
  </si>
  <si>
    <t>L0397</t>
  </si>
  <si>
    <t>L0398</t>
  </si>
  <si>
    <t>L0399</t>
  </si>
  <si>
    <t>L0400</t>
  </si>
  <si>
    <t>L0401</t>
  </si>
  <si>
    <t>L0402</t>
  </si>
  <si>
    <t>L0403</t>
  </si>
  <si>
    <t>L0404</t>
  </si>
  <si>
    <t>L0405</t>
  </si>
  <si>
    <t>L0406</t>
  </si>
  <si>
    <t>L0407</t>
  </si>
  <si>
    <t>L0408</t>
  </si>
  <si>
    <t>L0409</t>
  </si>
  <si>
    <t>L0410</t>
  </si>
  <si>
    <t>L0411</t>
  </si>
  <si>
    <t>L0412</t>
  </si>
  <si>
    <t>L0413</t>
  </si>
  <si>
    <t>L0414</t>
  </si>
  <si>
    <t>L0415</t>
  </si>
  <si>
    <t>L0416</t>
  </si>
  <si>
    <t>L0417</t>
  </si>
  <si>
    <t>L0418</t>
  </si>
  <si>
    <t>L0419</t>
  </si>
  <si>
    <t>L0420</t>
  </si>
  <si>
    <t>L0421</t>
  </si>
  <si>
    <t>L0422</t>
  </si>
  <si>
    <t>L0423</t>
  </si>
  <si>
    <t>L0424</t>
  </si>
  <si>
    <t>L0425</t>
  </si>
  <si>
    <t>L0426</t>
  </si>
  <si>
    <t>L0427</t>
  </si>
  <si>
    <t>L0428</t>
  </si>
  <si>
    <t>L0429</t>
  </si>
  <si>
    <t>L0430</t>
  </si>
  <si>
    <t>L0431</t>
  </si>
  <si>
    <t>L0432</t>
  </si>
  <si>
    <t>L0433</t>
  </si>
  <si>
    <t>L0434</t>
  </si>
  <si>
    <t>L0435</t>
  </si>
  <si>
    <t>L0436</t>
  </si>
  <si>
    <t>L0437</t>
  </si>
  <si>
    <t>L0438</t>
  </si>
  <si>
    <t>L0439</t>
  </si>
  <si>
    <t>L0440</t>
  </si>
  <si>
    <t>L0441</t>
  </si>
  <si>
    <t>L0442</t>
  </si>
  <si>
    <t>L0443</t>
  </si>
  <si>
    <t>L0444</t>
  </si>
  <si>
    <t>L0445</t>
  </si>
  <si>
    <t>L0446</t>
  </si>
  <si>
    <t>L0447</t>
  </si>
  <si>
    <t>L0448</t>
  </si>
  <si>
    <t>L0449</t>
  </si>
  <si>
    <t>L0450</t>
  </si>
  <si>
    <t>L0451</t>
  </si>
  <si>
    <t>L0452</t>
  </si>
  <si>
    <t>L0453</t>
  </si>
  <si>
    <t>L0454</t>
  </si>
  <si>
    <t>L0455</t>
  </si>
  <si>
    <t>L0456</t>
  </si>
  <si>
    <t>L0457</t>
  </si>
  <si>
    <t>L0458</t>
  </si>
  <si>
    <t>L0459</t>
  </si>
  <si>
    <t>L0460</t>
  </si>
  <si>
    <t>L0461</t>
  </si>
  <si>
    <t>L0462</t>
  </si>
  <si>
    <t>L0463</t>
  </si>
  <si>
    <t>L0464</t>
  </si>
  <si>
    <t>L0465</t>
  </si>
  <si>
    <t>L0466</t>
  </si>
  <si>
    <t>L0467</t>
  </si>
  <si>
    <t>L0468</t>
  </si>
  <si>
    <t>L0469</t>
  </si>
  <si>
    <t>L0470</t>
  </si>
  <si>
    <t>L0471</t>
  </si>
  <si>
    <t>L0472</t>
  </si>
  <si>
    <t>L0473</t>
  </si>
  <si>
    <t>L0474</t>
  </si>
  <si>
    <t>L0475</t>
  </si>
  <si>
    <t>L0476</t>
  </si>
  <si>
    <t>L0477</t>
  </si>
  <si>
    <t>L0478</t>
  </si>
  <si>
    <t>L0479</t>
  </si>
  <si>
    <t>L0480</t>
  </si>
  <si>
    <t>L0481</t>
  </si>
  <si>
    <t>L0482</t>
  </si>
  <si>
    <t>L0483</t>
  </si>
  <si>
    <t>L0484</t>
  </si>
  <si>
    <t>L0485</t>
  </si>
  <si>
    <t>L0486</t>
  </si>
  <si>
    <t>L0487</t>
  </si>
  <si>
    <t>L0488</t>
  </si>
  <si>
    <t>L0489</t>
  </si>
  <si>
    <t>L0490</t>
  </si>
  <si>
    <t>L0491</t>
  </si>
  <si>
    <t>L0492</t>
  </si>
  <si>
    <t>L0493</t>
  </si>
  <si>
    <t>L0494</t>
  </si>
  <si>
    <t>L0495</t>
  </si>
  <si>
    <t>L0496</t>
  </si>
  <si>
    <t>L0497</t>
  </si>
  <si>
    <t>L0498</t>
  </si>
  <si>
    <t>L0499</t>
  </si>
  <si>
    <t>L0500</t>
  </si>
  <si>
    <t>id_os</t>
  </si>
  <si>
    <t>data</t>
  </si>
  <si>
    <t>tipo_manutencao</t>
  </si>
  <si>
    <t>falha</t>
  </si>
  <si>
    <t>componente</t>
  </si>
  <si>
    <t>horas_parado</t>
  </si>
  <si>
    <t>custo_reais</t>
  </si>
  <si>
    <t>status_os</t>
  </si>
  <si>
    <t>tipo_equipamento_aux</t>
  </si>
  <si>
    <t>pool_equipamentos</t>
  </si>
  <si>
    <t>OS001</t>
  </si>
  <si>
    <t>Corretiva</t>
  </si>
  <si>
    <t>Superaquecimento</t>
  </si>
  <si>
    <t>Rolamento</t>
  </si>
  <si>
    <t>Finalizada</t>
  </si>
  <si>
    <t>OS002</t>
  </si>
  <si>
    <t>Vibração elevada</t>
  </si>
  <si>
    <t>Acoplamento</t>
  </si>
  <si>
    <t>OS003</t>
  </si>
  <si>
    <t>OS004</t>
  </si>
  <si>
    <t>Preventiva</t>
  </si>
  <si>
    <t>Desgaste</t>
  </si>
  <si>
    <t>Selo mecânico</t>
  </si>
  <si>
    <t>OS005</t>
  </si>
  <si>
    <t>OS006</t>
  </si>
  <si>
    <t>OS007</t>
  </si>
  <si>
    <t>OS008</t>
  </si>
  <si>
    <t>Folga/ajuste</t>
  </si>
  <si>
    <t>OS009</t>
  </si>
  <si>
    <t>Falha de acionamento</t>
  </si>
  <si>
    <t>Correia</t>
  </si>
  <si>
    <t>OS010</t>
  </si>
  <si>
    <t>OS011</t>
  </si>
  <si>
    <t>OS012</t>
  </si>
  <si>
    <t>OS013</t>
  </si>
  <si>
    <t>OS014</t>
  </si>
  <si>
    <t>Aberta</t>
  </si>
  <si>
    <t>OS015</t>
  </si>
  <si>
    <t>Vazamento</t>
  </si>
  <si>
    <t>OS016</t>
  </si>
  <si>
    <t>OS017</t>
  </si>
  <si>
    <t>OS018</t>
  </si>
  <si>
    <t>OS019</t>
  </si>
  <si>
    <t>OS020</t>
  </si>
  <si>
    <t>OS021</t>
  </si>
  <si>
    <t>OS022</t>
  </si>
  <si>
    <t>OS023</t>
  </si>
  <si>
    <t>OS024</t>
  </si>
  <si>
    <t>OS025</t>
  </si>
  <si>
    <t>OS026</t>
  </si>
  <si>
    <t>OS027</t>
  </si>
  <si>
    <t>OS028</t>
  </si>
  <si>
    <t>OS029</t>
  </si>
  <si>
    <t>OS030</t>
  </si>
  <si>
    <t>OS031</t>
  </si>
  <si>
    <t>Falha mecânica</t>
  </si>
  <si>
    <t>OS032</t>
  </si>
  <si>
    <t>OS033</t>
  </si>
  <si>
    <t>OS034</t>
  </si>
  <si>
    <t>OS035</t>
  </si>
  <si>
    <t>OS036</t>
  </si>
  <si>
    <t>OS037</t>
  </si>
  <si>
    <t>OS038</t>
  </si>
  <si>
    <t>OS039</t>
  </si>
  <si>
    <t>OS040</t>
  </si>
  <si>
    <t>OS041</t>
  </si>
  <si>
    <t>OS042</t>
  </si>
  <si>
    <t>OS043</t>
  </si>
  <si>
    <t>OS044</t>
  </si>
  <si>
    <t>OS045</t>
  </si>
  <si>
    <t>OS046</t>
  </si>
  <si>
    <t>OS047</t>
  </si>
  <si>
    <t>OS048</t>
  </si>
  <si>
    <t>OS049</t>
  </si>
  <si>
    <t>OS050</t>
  </si>
  <si>
    <t>OS051</t>
  </si>
  <si>
    <t>OS052</t>
  </si>
  <si>
    <t>OS053</t>
  </si>
  <si>
    <t>OS054</t>
  </si>
  <si>
    <t>OS055</t>
  </si>
  <si>
    <t>OS056</t>
  </si>
  <si>
    <t>OS057</t>
  </si>
  <si>
    <t>OS058</t>
  </si>
  <si>
    <t>OS059</t>
  </si>
  <si>
    <t>OS060</t>
  </si>
  <si>
    <t>coluna</t>
  </si>
  <si>
    <t>campo</t>
  </si>
  <si>
    <t>descricao</t>
  </si>
  <si>
    <t>formula_linha_2</t>
  </si>
  <si>
    <t>A</t>
  </si>
  <si>
    <t>Gera um identificador único sequencial para cada leitura.</t>
  </si>
  <si>
    <t>="L"&amp;TEXTO(LIN()-1;"0000")</t>
  </si>
  <si>
    <t>B</t>
  </si>
  <si>
    <t>Gera a data e hora da leitura, mantendo 20 equipamentos por dia e avançando um dia a cada 20 registros.</t>
  </si>
  <si>
    <t>=DATA(2026;1;1)+INT((LIN()-2)/20)+TEMPO(8;0;0)</t>
  </si>
  <si>
    <t>C</t>
  </si>
  <si>
    <t>Busca sequencialmente os equipamentos EQ001 até EQ020 na aba Equipamentos e reinicia a sequência a cada 20 registros.</t>
  </si>
  <si>
    <t>=ÍNDICE(Equipamentos!$A$2:$A$21;MOD(LIN()-2;20)+1)</t>
  </si>
  <si>
    <t>D</t>
  </si>
  <si>
    <t>Simula aleatoriamente entre 6 e 10 horas de operação diária para cada equipamento.</t>
  </si>
  <si>
    <t>=ALEATÓRIOENTRE(6;10)</t>
  </si>
  <si>
    <t>E</t>
  </si>
  <si>
    <t>Simula a temperatura com base no limite cadastrado de cada equipamento. EQ008, EQ013 e EQ015 possuem maior tendência a temperaturas próximas ou acima do limite.</t>
  </si>
  <si>
    <t>=SE(OU(C2="EQ008";C2="EQ013";C2="EQ015");PROCX(C2;Equipamentos!$A$2:$A$21;Equipamentos!$G$2:$G$21)+ALEATÓRIOENTRE(-2;10);PROCX(C2;Equipamentos!$A$2:$A$21;Equipamentos!$G$2:$G$21)-ALEATÓRIOENTRE(5;15))</t>
  </si>
  <si>
    <t>F</t>
  </si>
  <si>
    <t>Simula a vibração de cada equipamento com base em seu limite. EQ008, EQ013 e EQ015 possuem maior tendência a valores elevados.</t>
  </si>
  <si>
    <t>=ARRED(SE(OU(C2="EQ008";C2="EQ013";C2="EQ015");PROCX(C2;Equipamentos!$A$2:$A$21;Equipamentos!$H$2:$H$21)+(ALEATÓRIO()*3-1);PROCX(C2;Equipamentos!$A$2:$A$21;Equipamentos!$H$2:$H$21)-(ALEATÓRIO()*3+1));1)</t>
  </si>
  <si>
    <t>G</t>
  </si>
  <si>
    <t>Simula a corrente elétrica. Equipamentos problemáticos possuem tendência a trabalhar com corrente mais elevada.</t>
  </si>
  <si>
    <t>=ARRED(SE(OU(C2="EQ008";C2="EQ013";C2="EQ015");14+ALEATÓRIO()*8;8+ALEATÓRIO()*8);1)</t>
  </si>
  <si>
    <t>H</t>
  </si>
  <si>
    <t>Classifica cada leitura como Normal, Atenção ou Crítico comparando temperatura e vibração com os limites cadastrados.</t>
  </si>
  <si>
    <t>=SE(E(E2&gt;PROCX(C2;Equipamentos!$A$2:$A$21;Equipamentos!$G$2:$G$21);F2&gt;PROCX(C2;Equipamentos!$A$2:$A$21;Equipamentos!$H$2:$H$21));"Crítico";SE(OU(E2&gt;PROCX(C2;Equipamentos!$A$2:$A$21;Equipamentos!$G$2:$G$21);F2&gt;PROCX(C2;Equipamentos!$A$2:$A$21;Equipamentos!$H$2:$H$21));"Atenção";"Normal"))</t>
  </si>
  <si>
    <t>observacao</t>
  </si>
  <si>
    <t>As fórmulas acima foram aplicadas da linha 2 até a linha 501 da aba Leituras, gerando 500 registros simulados referentes a 20 equipamentos durante 25 dias. Após a geração, as fórmulas foram substituídas pelos respectivos valores por meio de Colar Especial &gt; Valores, mantendo o dataset fixo para as etapas de análise em Excel, SQL, Power BI e IA.</t>
  </si>
  <si>
    <t>formula_linha_7</t>
  </si>
  <si>
    <t>Gera um identificador único e sequencial para cada Ordem de Serviço.</t>
  </si>
  <si>
    <t>="OS"&amp;TEXTO(LIN()-1;"000")</t>
  </si>
  <si>
    <t>Gera aleatoriamente uma data entre 01/01/2026 e 25/01/2026.</t>
  </si>
  <si>
    <t>=DATA(2026;1;1)+ALEATÓRIOENTRE(0;24)</t>
  </si>
  <si>
    <t>Seleciona aleatoriamente um equipamento a partir de uma lista ponderada, aumentando a probabilidade de EQ008, EQ013 e EQ015 receberem Ordens de Serviço.</t>
  </si>
  <si>
    <t>=ÍNDICE($K$2:$K$30;ALEATÓRIOENTRE(1;29))</t>
  </si>
  <si>
    <t>Define maior probabilidade de manutenção corretiva para EQ008, EQ013 e EQ015. Para os demais equipamentos predominam manutenções preventivas.</t>
  </si>
  <si>
    <t>=SE(OU(C7="EQ008";C7="EQ013";C7="EQ015");SE(ALEATÓRIO()&lt;0,8;"Corretiva";"Preventiva");SE(ALEATÓRIO()&lt;0,35;"Corretiva";"Preventiva"))</t>
  </si>
  <si>
    <t>Define a falha com base no tipo de manutenção e no tipo do equipamento. Preventivas recebem Desgaste ou Folga/ajuste; corretivas recebem falhas coerentes com o equipamento.</t>
  </si>
  <si>
    <t>=SE(D7="Preventiva";SE(ALEATÓRIO()&lt;0,5;"Desgaste";"Folga/ajuste");SE(J7="Motor";"Superaquecimento";SE(J7="Bomba";"Vazamento";SE(J7="Compressor";"Superaquecimento";SE(J7="Esteira";"Falha de acionamento";SE(J7="Redutor";"Vibração elevada";SE(J7="Painel";"Falha elétrica";SE(J7="Ventilador";"Vibração elevada";"Falha mecânica"))))))))</t>
  </si>
  <si>
    <t>Define o componente afetado de acordo com o tipo de falha registrada.</t>
  </si>
  <si>
    <t>=SE(E7="Superaquecimento";"Rolamento";SE(E7="Vibração elevada";"Acoplamento";SE(E7="Vazamento";"Selo mecânico";SE(E7="Falha elétrica";"Contator";SE(E7="Falha de acionamento";"Correia";SE(E7="Falha mecânica";"Rolamento";SE(E7="Desgaste";"Rolamento";SE(E7="Folga/ajuste";"Acoplamento";"Outros"))))))))</t>
  </si>
  <si>
    <t>Simula o downtime de acordo com o tipo de falha, atribuindo intervalos maiores para ocorrências mais graves.</t>
  </si>
  <si>
    <t>=SE(E7="Superaquecimento";ALEATÓRIOENTRE(5;10);SE(E7="Vibração elevada";ALEATÓRIOENTRE(4;8);SE(E7="Vazamento";ALEATÓRIOENTRE(3;7);SE(E7="Falha elétrica";ALEATÓRIOENTRE(2;6);SE(E7="Falha de acionamento";ALEATÓRIOENTRE(3;7);SE(E7="Falha mecânica";ALEATÓRIOENTRE(5;9);SE(E7="Desgaste";ALEATÓRIOENTRE(1;4);SE(E7="Folga/ajuste";ALEATÓRIOENTRE(1;3);1))))))))</t>
  </si>
  <si>
    <t>Simula o custo da manutenção considerando o componente afetado e as horas de equipamento parado.</t>
  </si>
  <si>
    <t>=SE(F7="Rolamento";ALEATÓRIOENTRE(500;900)+G7*120;SE(F7="Acoplamento";ALEATÓRIOENTRE(400;800)+G7*100;SE(F7="Selo mecânico";ALEATÓRIOENTRE(350;700)+G7*90;SE(F7="Contator";ALEATÓRIOENTRE(250;500)+G7*80;SE(F7="Correia";ALEATÓRIOENTRE(200;450)+G7*70;ALEATÓRIOENTRE(200;600)+G7*80)))))</t>
  </si>
  <si>
    <t>I</t>
  </si>
  <si>
    <t>Simula aproximadamente 90% das Ordens de Serviço como Finalizadas e 10% como Abertas.</t>
  </si>
  <si>
    <t>=SE(ALEATÓRIO()&lt;0,9;"Finalizada";"Aberta")</t>
  </si>
  <si>
    <t>J</t>
  </si>
  <si>
    <t>Busca automaticamente o tipo do equipamento cadastrado na aba Equipamentos para auxiliar na geração de falhas coerentes.</t>
  </si>
  <si>
    <t>=PROCX(C7;Equipamentos!$A$2:$A$21;Equipamentos!$C$2:$C$21)</t>
  </si>
  <si>
    <t>parametro</t>
  </si>
  <si>
    <t>valor</t>
  </si>
  <si>
    <t>EQ001; EQ002; EQ003; EQ004; EQ005; EQ006; EQ007; EQ008; EQ008; EQ008; EQ008; EQ009; EQ010; EQ011; EQ012; EQ013; EQ013; EQ013; EQ013; EQ014; EQ015; EQ015; EQ015; EQ015; EQ016; EQ017; EQ018; EQ019; EQ020</t>
  </si>
  <si>
    <t>Lista ponderada utilizada para o sorteio das Ordens de Serviço. EQ008, EQ013 e EQ015 aparecem quatro vezes para aumentar sua probabilidade de seleção.</t>
  </si>
  <si>
    <t>prob_corretiva_problematicos</t>
  </si>
  <si>
    <t>Probabilidade aproximada de manutenção corretiva para EQ008, EQ013 e EQ015.</t>
  </si>
  <si>
    <t>prob_corretiva_demais</t>
  </si>
  <si>
    <t>Probabilidade aproximada de manutenção corretiva para os demais equipamentos.</t>
  </si>
  <si>
    <t>prob_os_finalizada</t>
  </si>
  <si>
    <t>Probabilidade aproximada de uma Ordem de Serviço ser classificada como Finalizada.</t>
  </si>
  <si>
    <t>As fórmulas da tabela Manutencoes foram utilizadas para gerar uma base simulada de 60 Ordens de Serviço. As cinco primeiras OS foram preenchidas inicialmente como exemplos para validação da estrutura, e as demais foram geradas utilizando regras probabilísticas e relações entre equipamento, tipo de manutenção, falha, componente, downtime e custo. Após a geração, as fórmulas foram substituídas pelos respectivos valores utilizando Colar Especial &gt; Valores, mantendo o dataset fixo para as análises.</t>
  </si>
  <si>
    <t>ANÁLISE DOS STATUS DOS EQUIPAMENTOS</t>
  </si>
  <si>
    <t>quantidade</t>
  </si>
  <si>
    <t>percentual</t>
  </si>
  <si>
    <t>qtd_critico</t>
  </si>
  <si>
    <t>TOP 3 EQUIPAMENTOS CRÍTICOS</t>
  </si>
  <si>
    <t>custo_total</t>
  </si>
  <si>
    <t>horas_parado_total</t>
  </si>
  <si>
    <t>qtd_corretivas</t>
  </si>
  <si>
    <t>temp_media_c</t>
  </si>
  <si>
    <t>vibracao_media_mm_s</t>
  </si>
  <si>
    <t>prioridade</t>
  </si>
  <si>
    <t>RESUMO DA ANÁLISE</t>
  </si>
  <si>
    <t>horas_media</t>
  </si>
  <si>
    <t>Equipamento com mais eventos críticos:</t>
  </si>
  <si>
    <t>Equipamento com maior custo:</t>
  </si>
  <si>
    <t>Equipamento com maior downtime:</t>
  </si>
  <si>
    <t>Total de leituras</t>
  </si>
  <si>
    <t>MÉDIAS GERAIS DA FÁBRICA</t>
  </si>
  <si>
    <t>Temperatura média</t>
  </si>
  <si>
    <t>Vibração média</t>
  </si>
  <si>
    <t>Total de Ordens de Serviço</t>
  </si>
  <si>
    <t>Horas de operação média</t>
  </si>
  <si>
    <t>Total crítico</t>
  </si>
  <si>
    <t>Totais: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</si>
</sst>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charset val="1"/>
    </font>
    <font>
      <sz val="11"/>
      <color theme="1"/>
      <name val="Courier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Font="1"/>
    <xf numFmtId="22" fontId="0" fillId="0" borderId="0" xfId="0" applyNumberFormat="1"/>
    <xf numFmtId="0" fontId="0" fillId="0" borderId="0" xfId="0" applyFont="1" applyAlignment="1">
      <alignment horizontal="right"/>
    </xf>
    <xf numFmtId="0" fontId="0" fillId="0" borderId="0" xfId="0" quotePrefix="1"/>
    <xf numFmtId="0" fontId="2" fillId="0" borderId="0" xfId="0" applyFont="1" applyAlignment="1"/>
    <xf numFmtId="1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3" fillId="0" borderId="0" xfId="0" applyFont="1"/>
    <xf numFmtId="9" fontId="0" fillId="0" borderId="0" xfId="0" applyNumberFormat="1"/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scheme val="none"/>
      </font>
    </dxf>
    <dxf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scheme val="none"/>
      </font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scheme val="none"/>
      </font>
    </dxf>
    <dxf>
      <numFmt numFmtId="27" formatCode="dd/mm/yyyy\ hh:mm"/>
    </dxf>
    <dxf>
      <font>
        <b val="0"/>
      </font>
      <alignment horizontal="right"/>
    </dxf>
    <dxf>
      <font>
        <b val="0"/>
      </font>
    </dxf>
    <dxf>
      <font>
        <b val="0"/>
      </font>
    </dxf>
    <dxf>
      <font>
        <b val="0"/>
      </font>
      <alignment horizontal="right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Analise_Excel!$T$3</c:f>
              <c:strCache>
                <c:ptCount val="1"/>
                <c:pt idx="0">
                  <c:v>qtd_critico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Analise_Excel!$S$4:$S$23</c:f>
              <c:strCache>
                <c:ptCount val="20"/>
                <c:pt idx="0">
                  <c:v>EQ001</c:v>
                </c:pt>
                <c:pt idx="1">
                  <c:v>EQ002</c:v>
                </c:pt>
                <c:pt idx="2">
                  <c:v>EQ003</c:v>
                </c:pt>
                <c:pt idx="3">
                  <c:v>EQ004</c:v>
                </c:pt>
                <c:pt idx="4">
                  <c:v>EQ005</c:v>
                </c:pt>
                <c:pt idx="5">
                  <c:v>EQ006</c:v>
                </c:pt>
                <c:pt idx="6">
                  <c:v>EQ007</c:v>
                </c:pt>
                <c:pt idx="7">
                  <c:v>EQ008</c:v>
                </c:pt>
                <c:pt idx="8">
                  <c:v>EQ009</c:v>
                </c:pt>
                <c:pt idx="9">
                  <c:v>EQ010</c:v>
                </c:pt>
                <c:pt idx="10">
                  <c:v>EQ011</c:v>
                </c:pt>
                <c:pt idx="11">
                  <c:v>EQ012</c:v>
                </c:pt>
                <c:pt idx="12">
                  <c:v>EQ013</c:v>
                </c:pt>
                <c:pt idx="13">
                  <c:v>EQ014</c:v>
                </c:pt>
                <c:pt idx="14">
                  <c:v>EQ015</c:v>
                </c:pt>
                <c:pt idx="15">
                  <c:v>EQ016</c:v>
                </c:pt>
                <c:pt idx="16">
                  <c:v>EQ017</c:v>
                </c:pt>
                <c:pt idx="17">
                  <c:v>EQ018</c:v>
                </c:pt>
                <c:pt idx="18">
                  <c:v>EQ019</c:v>
                </c:pt>
                <c:pt idx="19">
                  <c:v>EQ020</c:v>
                </c:pt>
              </c:strCache>
            </c:strRef>
          </c:cat>
          <c:val>
            <c:numRef>
              <c:f>Analise_Excel!$T$4:$T$23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16</c:v>
                </c:pt>
                <c:pt idx="13">
                  <c:v>0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D6-4FCF-B148-47A35ECC4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3190919"/>
        <c:axId val="1543328263"/>
      </c:barChart>
      <c:catAx>
        <c:axId val="1833190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328263"/>
        <c:crosses val="autoZero"/>
        <c:auto val="1"/>
        <c:lblAlgn val="ctr"/>
        <c:lblOffset val="100"/>
        <c:noMultiLvlLbl val="0"/>
      </c:catAx>
      <c:valAx>
        <c:axId val="1543328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190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Analise_Excel!$Y$3</c:f>
              <c:strCache>
                <c:ptCount val="1"/>
                <c:pt idx="0">
                  <c:v>custo_total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Analise_Excel!$S$4:$S$23</c:f>
              <c:strCache>
                <c:ptCount val="20"/>
                <c:pt idx="0">
                  <c:v>EQ001</c:v>
                </c:pt>
                <c:pt idx="1">
                  <c:v>EQ002</c:v>
                </c:pt>
                <c:pt idx="2">
                  <c:v>EQ003</c:v>
                </c:pt>
                <c:pt idx="3">
                  <c:v>EQ004</c:v>
                </c:pt>
                <c:pt idx="4">
                  <c:v>EQ005</c:v>
                </c:pt>
                <c:pt idx="5">
                  <c:v>EQ006</c:v>
                </c:pt>
                <c:pt idx="6">
                  <c:v>EQ007</c:v>
                </c:pt>
                <c:pt idx="7">
                  <c:v>EQ008</c:v>
                </c:pt>
                <c:pt idx="8">
                  <c:v>EQ009</c:v>
                </c:pt>
                <c:pt idx="9">
                  <c:v>EQ010</c:v>
                </c:pt>
                <c:pt idx="10">
                  <c:v>EQ011</c:v>
                </c:pt>
                <c:pt idx="11">
                  <c:v>EQ012</c:v>
                </c:pt>
                <c:pt idx="12">
                  <c:v>EQ013</c:v>
                </c:pt>
                <c:pt idx="13">
                  <c:v>EQ014</c:v>
                </c:pt>
                <c:pt idx="14">
                  <c:v>EQ015</c:v>
                </c:pt>
                <c:pt idx="15">
                  <c:v>EQ016</c:v>
                </c:pt>
                <c:pt idx="16">
                  <c:v>EQ017</c:v>
                </c:pt>
                <c:pt idx="17">
                  <c:v>EQ018</c:v>
                </c:pt>
                <c:pt idx="18">
                  <c:v>EQ019</c:v>
                </c:pt>
                <c:pt idx="19">
                  <c:v>EQ020</c:v>
                </c:pt>
              </c:strCache>
            </c:strRef>
          </c:cat>
          <c:val>
            <c:numRef>
              <c:f>Analise_Excel!$Y$4:$Y$23</c:f>
              <c:numCache>
                <c:formatCode>"R$"\ #,##0.00</c:formatCode>
                <c:ptCount val="20"/>
                <c:pt idx="0">
                  <c:v>2909</c:v>
                </c:pt>
                <c:pt idx="1">
                  <c:v>818</c:v>
                </c:pt>
                <c:pt idx="2">
                  <c:v>5066</c:v>
                </c:pt>
                <c:pt idx="3">
                  <c:v>1367</c:v>
                </c:pt>
                <c:pt idx="4">
                  <c:v>1334</c:v>
                </c:pt>
                <c:pt idx="5">
                  <c:v>1731</c:v>
                </c:pt>
                <c:pt idx="6">
                  <c:v>2029</c:v>
                </c:pt>
                <c:pt idx="7">
                  <c:v>17093</c:v>
                </c:pt>
                <c:pt idx="8">
                  <c:v>5441</c:v>
                </c:pt>
                <c:pt idx="9">
                  <c:v>565</c:v>
                </c:pt>
                <c:pt idx="10">
                  <c:v>1940</c:v>
                </c:pt>
                <c:pt idx="11">
                  <c:v>4866</c:v>
                </c:pt>
                <c:pt idx="12">
                  <c:v>8063</c:v>
                </c:pt>
                <c:pt idx="13">
                  <c:v>1792</c:v>
                </c:pt>
                <c:pt idx="14">
                  <c:v>6657</c:v>
                </c:pt>
                <c:pt idx="15">
                  <c:v>962</c:v>
                </c:pt>
                <c:pt idx="16">
                  <c:v>1505</c:v>
                </c:pt>
                <c:pt idx="17">
                  <c:v>1004</c:v>
                </c:pt>
                <c:pt idx="18">
                  <c:v>672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42-4B4D-822B-0BAE1C203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2372231"/>
        <c:axId val="1472374279"/>
      </c:barChart>
      <c:catAx>
        <c:axId val="1472372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374279"/>
        <c:crosses val="autoZero"/>
        <c:auto val="1"/>
        <c:lblAlgn val="ctr"/>
        <c:lblOffset val="100"/>
        <c:noMultiLvlLbl val="0"/>
      </c:catAx>
      <c:valAx>
        <c:axId val="1472374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372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Analise_Excel!$X$3</c:f>
              <c:strCache>
                <c:ptCount val="1"/>
                <c:pt idx="0">
                  <c:v>horas_parado_total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Analise_Excel!$S$4:$S$23</c:f>
              <c:strCache>
                <c:ptCount val="20"/>
                <c:pt idx="0">
                  <c:v>EQ001</c:v>
                </c:pt>
                <c:pt idx="1">
                  <c:v>EQ002</c:v>
                </c:pt>
                <c:pt idx="2">
                  <c:v>EQ003</c:v>
                </c:pt>
                <c:pt idx="3">
                  <c:v>EQ004</c:v>
                </c:pt>
                <c:pt idx="4">
                  <c:v>EQ005</c:v>
                </c:pt>
                <c:pt idx="5">
                  <c:v>EQ006</c:v>
                </c:pt>
                <c:pt idx="6">
                  <c:v>EQ007</c:v>
                </c:pt>
                <c:pt idx="7">
                  <c:v>EQ008</c:v>
                </c:pt>
                <c:pt idx="8">
                  <c:v>EQ009</c:v>
                </c:pt>
                <c:pt idx="9">
                  <c:v>EQ010</c:v>
                </c:pt>
                <c:pt idx="10">
                  <c:v>EQ011</c:v>
                </c:pt>
                <c:pt idx="11">
                  <c:v>EQ012</c:v>
                </c:pt>
                <c:pt idx="12">
                  <c:v>EQ013</c:v>
                </c:pt>
                <c:pt idx="13">
                  <c:v>EQ014</c:v>
                </c:pt>
                <c:pt idx="14">
                  <c:v>EQ015</c:v>
                </c:pt>
                <c:pt idx="15">
                  <c:v>EQ016</c:v>
                </c:pt>
                <c:pt idx="16">
                  <c:v>EQ017</c:v>
                </c:pt>
                <c:pt idx="17">
                  <c:v>EQ018</c:v>
                </c:pt>
                <c:pt idx="18">
                  <c:v>EQ019</c:v>
                </c:pt>
                <c:pt idx="19">
                  <c:v>EQ020</c:v>
                </c:pt>
              </c:strCache>
            </c:strRef>
          </c:cat>
          <c:val>
            <c:numRef>
              <c:f>Analise_Excel!$X$4:$X$23</c:f>
              <c:numCache>
                <c:formatCode>General</c:formatCode>
                <c:ptCount val="20"/>
                <c:pt idx="0">
                  <c:v>9</c:v>
                </c:pt>
                <c:pt idx="1">
                  <c:v>1</c:v>
                </c:pt>
                <c:pt idx="2">
                  <c:v>12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7</c:v>
                </c:pt>
                <c:pt idx="7">
                  <c:v>67</c:v>
                </c:pt>
                <c:pt idx="8">
                  <c:v>19</c:v>
                </c:pt>
                <c:pt idx="9">
                  <c:v>3</c:v>
                </c:pt>
                <c:pt idx="10">
                  <c:v>5</c:v>
                </c:pt>
                <c:pt idx="11">
                  <c:v>28</c:v>
                </c:pt>
                <c:pt idx="12">
                  <c:v>34</c:v>
                </c:pt>
                <c:pt idx="13">
                  <c:v>6</c:v>
                </c:pt>
                <c:pt idx="14">
                  <c:v>25</c:v>
                </c:pt>
                <c:pt idx="15">
                  <c:v>1</c:v>
                </c:pt>
                <c:pt idx="16">
                  <c:v>8</c:v>
                </c:pt>
                <c:pt idx="17">
                  <c:v>3</c:v>
                </c:pt>
                <c:pt idx="18">
                  <c:v>2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EE-4B32-B7C6-C3E75EFC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9408647"/>
        <c:axId val="1439410695"/>
      </c:barChart>
      <c:catAx>
        <c:axId val="1439408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410695"/>
        <c:crosses val="autoZero"/>
        <c:auto val="1"/>
        <c:lblAlgn val="ctr"/>
        <c:lblOffset val="100"/>
        <c:noMultiLvlLbl val="0"/>
      </c:catAx>
      <c:valAx>
        <c:axId val="1439410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408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1123950</xdr:colOff>
      <xdr:row>27</xdr:row>
      <xdr:rowOff>0</xdr:rowOff>
    </xdr:from>
    <xdr:to>
      <xdr:col>21</xdr:col>
      <xdr:colOff>190500</xdr:colOff>
      <xdr:row>41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4772530-F5DF-1901-EB8A-698E4F021E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400050</xdr:colOff>
      <xdr:row>26</xdr:row>
      <xdr:rowOff>171450</xdr:rowOff>
    </xdr:from>
    <xdr:to>
      <xdr:col>25</xdr:col>
      <xdr:colOff>495300</xdr:colOff>
      <xdr:row>41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82A5E36-7E16-D23A-4F40-92F36249E806}"/>
            </a:ext>
            <a:ext uri="{147F2762-F138-4A5C-976F-8EAC2B608ADB}">
              <a16:predDERef xmlns:a16="http://schemas.microsoft.com/office/drawing/2014/main" pred="{64772530-F5DF-1901-EB8A-698E4F021E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1143000</xdr:colOff>
      <xdr:row>42</xdr:row>
      <xdr:rowOff>76200</xdr:rowOff>
    </xdr:from>
    <xdr:to>
      <xdr:col>21</xdr:col>
      <xdr:colOff>209550</xdr:colOff>
      <xdr:row>56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5B51E81-2F9D-7DA3-D070-6D98A5BED5CB}"/>
            </a:ext>
            <a:ext uri="{147F2762-F138-4A5C-976F-8EAC2B608ADB}">
              <a16:predDERef xmlns:a16="http://schemas.microsoft.com/office/drawing/2014/main" pred="{682A5E36-7E16-D23A-4F40-92F36249E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674ED5-310E-4AE7-A344-81B655A5FE57}" name="tb_equipamentos" displayName="tb_equipamentos" ref="A1:H21" totalsRowShown="0" headerRowDxfId="19" dataDxfId="18">
  <autoFilter ref="A1:H21" xr:uid="{90674ED5-310E-4AE7-A344-81B655A5FE57}"/>
  <tableColumns count="8">
    <tableColumn id="1" xr3:uid="{6AA79061-7176-4592-ADB1-D3EE032F33D0}" name="id_equipamento" dataDxfId="17"/>
    <tableColumn id="2" xr3:uid="{AA7D2261-7227-40A9-A789-93702FDFA649}" name="equipamento" dataDxfId="16"/>
    <tableColumn id="3" xr3:uid="{62129CD8-E10F-4AFB-BB97-976E5DF741EE}" name="tipo" dataDxfId="15"/>
    <tableColumn id="4" xr3:uid="{66494CC3-7B5E-45F3-99CC-12EE1588884B}" name="setor" dataDxfId="14"/>
    <tableColumn id="5" xr3:uid="{3C4E84BE-A337-49B9-8BB7-C085D141C998}" name="criticidade" dataDxfId="13"/>
    <tableColumn id="6" xr3:uid="{611F3D23-C0AF-4E50-AEB9-19533BA0D49C}" name="ano_instalacao" dataDxfId="12"/>
    <tableColumn id="7" xr3:uid="{D88E3155-F92F-4E99-8CB6-07D1F1B4DBAC}" name="temp_limite_c" dataDxfId="11"/>
    <tableColumn id="8" xr3:uid="{63186031-EB39-43F1-A000-89EBE07722C6}" name="vibracao_limite_mm_s" dataDxfId="10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FF68E4-5E66-4671-9DF2-9E227D9590B2}" name="tb_leituras" displayName="tb_leituras" ref="A1:H501" totalsRowShown="0">
  <autoFilter ref="A1:H501" xr:uid="{C2FF68E4-5E66-4671-9DF2-9E227D9590B2}"/>
  <tableColumns count="8">
    <tableColumn id="1" xr3:uid="{7C395C26-97B7-407B-AC82-1C41FFAE8943}" name="id_leitura"/>
    <tableColumn id="2" xr3:uid="{30733D78-E436-4A56-A2C6-2CE2127EFA77}" name="data_hora" dataDxfId="9"/>
    <tableColumn id="3" xr3:uid="{F3C49482-A67B-4ED7-80F4-574DBEEC2565}" name="id_equipamento"/>
    <tableColumn id="4" xr3:uid="{F8A1AE5E-C844-4746-8AE4-A52EFCA20B9A}" name="horas_operacao"/>
    <tableColumn id="5" xr3:uid="{0A864E59-B9E9-4FF4-A2A2-507198D0D662}" name="temperatura_c"/>
    <tableColumn id="6" xr3:uid="{C0BD9211-8566-450C-A060-BF4BAA80E0E1}" name="vibracao_mm_s"/>
    <tableColumn id="7" xr3:uid="{6656AB56-D264-4989-AB6B-20582C40F3F3}" name="corrente_a"/>
    <tableColumn id="8" xr3:uid="{77A9DDD9-A963-4FD5-84EE-37D1FE73FE56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15A8BD-C75B-4CEF-B9C5-72F808FD2FAB}" name="tb_manutencoes" displayName="tb_manutencoes" ref="A1:J61" totalsRowShown="0" dataDxfId="8">
  <autoFilter ref="A1:J61" xr:uid="{A015A8BD-C75B-4CEF-B9C5-72F808FD2FAB}"/>
  <tableColumns count="10">
    <tableColumn id="1" xr3:uid="{CEEF94E3-75DC-4370-B1A4-E9953DC1ED71}" name="id_os"/>
    <tableColumn id="2" xr3:uid="{D1F58E1D-2C15-4A27-B17E-B9C3F5661D09}" name="data" dataDxfId="7"/>
    <tableColumn id="3" xr3:uid="{D2CF1D51-1FEB-4E51-BA29-D0BF0BD1D1BF}" name="id_equipamento" dataDxfId="6"/>
    <tableColumn id="4" xr3:uid="{2E327E3E-675E-468A-8291-53D4E85DE56A}" name="tipo_manutencao" dataDxfId="5"/>
    <tableColumn id="5" xr3:uid="{5E8AE8D5-6E84-4438-B235-C2664F5194EB}" name="falha" dataDxfId="4"/>
    <tableColumn id="6" xr3:uid="{9219B398-5DE1-45D3-86A8-BACC48ECCAE1}" name="componente" dataDxfId="3"/>
    <tableColumn id="7" xr3:uid="{2E9DEFC5-38AA-49A4-8E3E-B3DD6FDB359B}" name="horas_parado"/>
    <tableColumn id="8" xr3:uid="{E74F6961-FC76-49D3-BBFC-59B82649EB80}" name="custo_reais" dataDxfId="2"/>
    <tableColumn id="9" xr3:uid="{F5E6BE92-EF0F-4AD1-B031-234E3B8EA4D7}" name="status_os" dataDxfId="1"/>
    <tableColumn id="10" xr3:uid="{9429815C-1256-4A9B-BCE6-CE8EE9D6CC2A}" name="tipo_equipamento_aux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K12" sqref="K12"/>
    </sheetView>
  </sheetViews>
  <sheetFormatPr defaultRowHeight="15"/>
  <cols>
    <col min="1" max="1" width="18.28515625" bestFit="1" customWidth="1"/>
    <col min="2" max="2" width="24.42578125" bestFit="1" customWidth="1"/>
    <col min="3" max="3" width="11.5703125" bestFit="1" customWidth="1"/>
    <col min="4" max="4" width="10" bestFit="1" customWidth="1"/>
    <col min="5" max="5" width="12.7109375" bestFit="1" customWidth="1"/>
    <col min="6" max="6" width="17" bestFit="1" customWidth="1"/>
    <col min="7" max="7" width="16.42578125" bestFit="1" customWidth="1"/>
    <col min="8" max="8" width="24.140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4" t="s">
        <v>12</v>
      </c>
      <c r="F2" s="2">
        <v>2018</v>
      </c>
      <c r="G2" s="2">
        <v>80</v>
      </c>
      <c r="H2" s="4">
        <v>7.1</v>
      </c>
    </row>
    <row r="3" spans="1:8">
      <c r="A3" s="2" t="s">
        <v>13</v>
      </c>
      <c r="B3" s="2" t="s">
        <v>14</v>
      </c>
      <c r="C3" s="2" t="s">
        <v>10</v>
      </c>
      <c r="D3" s="2" t="s">
        <v>11</v>
      </c>
      <c r="E3" s="4" t="s">
        <v>12</v>
      </c>
      <c r="F3" s="2">
        <v>2019</v>
      </c>
      <c r="G3" s="2">
        <v>80</v>
      </c>
      <c r="H3" s="4">
        <v>7.2</v>
      </c>
    </row>
    <row r="4" spans="1:8">
      <c r="A4" s="2" t="s">
        <v>15</v>
      </c>
      <c r="B4" s="2" t="s">
        <v>16</v>
      </c>
      <c r="C4" s="2" t="s">
        <v>10</v>
      </c>
      <c r="D4" s="2" t="s">
        <v>11</v>
      </c>
      <c r="E4" s="4" t="s">
        <v>17</v>
      </c>
      <c r="F4" s="2">
        <v>2020</v>
      </c>
      <c r="G4" s="2">
        <v>85</v>
      </c>
      <c r="H4" s="4">
        <v>7.3</v>
      </c>
    </row>
    <row r="5" spans="1:8">
      <c r="A5" s="2" t="s">
        <v>18</v>
      </c>
      <c r="B5" s="2" t="s">
        <v>19</v>
      </c>
      <c r="C5" s="2" t="s">
        <v>10</v>
      </c>
      <c r="D5" s="2" t="s">
        <v>11</v>
      </c>
      <c r="E5" s="4" t="s">
        <v>17</v>
      </c>
      <c r="F5" s="2">
        <v>2021</v>
      </c>
      <c r="G5" s="2">
        <v>85</v>
      </c>
      <c r="H5" s="4">
        <v>7.4</v>
      </c>
    </row>
    <row r="6" spans="1:8">
      <c r="A6" s="2" t="s">
        <v>20</v>
      </c>
      <c r="B6" s="2" t="s">
        <v>21</v>
      </c>
      <c r="C6" s="2" t="s">
        <v>22</v>
      </c>
      <c r="D6" s="2" t="s">
        <v>23</v>
      </c>
      <c r="E6" s="4" t="s">
        <v>12</v>
      </c>
      <c r="F6" s="2">
        <v>2017</v>
      </c>
      <c r="G6" s="2">
        <v>75</v>
      </c>
      <c r="H6" s="4">
        <v>7.5</v>
      </c>
    </row>
    <row r="7" spans="1:8">
      <c r="A7" s="2" t="s">
        <v>24</v>
      </c>
      <c r="B7" s="2" t="s">
        <v>25</v>
      </c>
      <c r="C7" s="2" t="s">
        <v>22</v>
      </c>
      <c r="D7" s="2" t="s">
        <v>23</v>
      </c>
      <c r="E7" s="4" t="s">
        <v>12</v>
      </c>
      <c r="F7" s="2">
        <v>2018</v>
      </c>
      <c r="G7" s="2">
        <v>75</v>
      </c>
      <c r="H7" s="4">
        <v>7.6</v>
      </c>
    </row>
    <row r="8" spans="1:8">
      <c r="A8" s="2" t="s">
        <v>26</v>
      </c>
      <c r="B8" s="2" t="s">
        <v>27</v>
      </c>
      <c r="C8" s="2" t="s">
        <v>22</v>
      </c>
      <c r="D8" s="2" t="s">
        <v>11</v>
      </c>
      <c r="E8" s="4" t="s">
        <v>17</v>
      </c>
      <c r="F8" s="2">
        <v>2020</v>
      </c>
      <c r="G8" s="2">
        <v>78</v>
      </c>
      <c r="H8" s="4">
        <v>7.7</v>
      </c>
    </row>
    <row r="9" spans="1:8">
      <c r="A9" s="2" t="s">
        <v>28</v>
      </c>
      <c r="B9" s="2" t="s">
        <v>29</v>
      </c>
      <c r="C9" s="2" t="s">
        <v>30</v>
      </c>
      <c r="D9" s="2" t="s">
        <v>23</v>
      </c>
      <c r="E9" s="4" t="s">
        <v>12</v>
      </c>
      <c r="F9" s="2">
        <v>2016</v>
      </c>
      <c r="G9" s="2">
        <v>90</v>
      </c>
      <c r="H9" s="4">
        <v>7.8</v>
      </c>
    </row>
    <row r="10" spans="1:8">
      <c r="A10" s="2" t="s">
        <v>31</v>
      </c>
      <c r="B10" s="2" t="s">
        <v>32</v>
      </c>
      <c r="C10" s="2" t="s">
        <v>30</v>
      </c>
      <c r="D10" s="2" t="s">
        <v>23</v>
      </c>
      <c r="E10" s="4" t="s">
        <v>12</v>
      </c>
      <c r="F10" s="2">
        <v>2019</v>
      </c>
      <c r="G10" s="2">
        <v>90</v>
      </c>
      <c r="H10" s="4">
        <v>7.9</v>
      </c>
    </row>
    <row r="11" spans="1:8">
      <c r="A11" s="2" t="s">
        <v>33</v>
      </c>
      <c r="B11" s="2" t="s">
        <v>34</v>
      </c>
      <c r="C11" s="2" t="s">
        <v>35</v>
      </c>
      <c r="D11" s="2" t="s">
        <v>11</v>
      </c>
      <c r="E11" s="4" t="s">
        <v>17</v>
      </c>
      <c r="F11" s="2">
        <v>2021</v>
      </c>
      <c r="G11" s="2">
        <v>70</v>
      </c>
      <c r="H11" s="4">
        <v>7.1</v>
      </c>
    </row>
    <row r="12" spans="1:8">
      <c r="A12" s="2" t="s">
        <v>36</v>
      </c>
      <c r="B12" s="2" t="s">
        <v>37</v>
      </c>
      <c r="C12" s="2" t="s">
        <v>35</v>
      </c>
      <c r="D12" s="2" t="s">
        <v>11</v>
      </c>
      <c r="E12" s="4" t="s">
        <v>17</v>
      </c>
      <c r="F12" s="2">
        <v>2021</v>
      </c>
      <c r="G12" s="2">
        <v>70</v>
      </c>
      <c r="H12" s="4">
        <v>7.11</v>
      </c>
    </row>
    <row r="13" spans="1:8">
      <c r="A13" s="2" t="s">
        <v>38</v>
      </c>
      <c r="B13" s="2" t="s">
        <v>39</v>
      </c>
      <c r="C13" s="2" t="s">
        <v>35</v>
      </c>
      <c r="D13" s="2" t="s">
        <v>40</v>
      </c>
      <c r="E13" s="4" t="s">
        <v>41</v>
      </c>
      <c r="F13" s="2">
        <v>2022</v>
      </c>
      <c r="G13" s="2">
        <v>70</v>
      </c>
      <c r="H13" s="4">
        <v>7.12</v>
      </c>
    </row>
    <row r="14" spans="1:8">
      <c r="A14" s="2" t="s">
        <v>42</v>
      </c>
      <c r="B14" s="2" t="s">
        <v>43</v>
      </c>
      <c r="C14" s="2" t="s">
        <v>44</v>
      </c>
      <c r="D14" s="2" t="s">
        <v>11</v>
      </c>
      <c r="E14" s="4" t="s">
        <v>12</v>
      </c>
      <c r="F14" s="2">
        <v>2017</v>
      </c>
      <c r="G14" s="2">
        <v>80</v>
      </c>
      <c r="H14" s="4">
        <v>7.13</v>
      </c>
    </row>
    <row r="15" spans="1:8">
      <c r="A15" s="2" t="s">
        <v>45</v>
      </c>
      <c r="B15" s="2" t="s">
        <v>46</v>
      </c>
      <c r="C15" s="2" t="s">
        <v>44</v>
      </c>
      <c r="D15" s="2" t="s">
        <v>11</v>
      </c>
      <c r="E15" s="4" t="s">
        <v>17</v>
      </c>
      <c r="F15" s="2">
        <v>2020</v>
      </c>
      <c r="G15" s="2">
        <v>80</v>
      </c>
      <c r="H15" s="4">
        <v>7.14</v>
      </c>
    </row>
    <row r="16" spans="1:8">
      <c r="A16" s="2" t="s">
        <v>47</v>
      </c>
      <c r="B16" s="2" t="s">
        <v>48</v>
      </c>
      <c r="C16" s="2" t="s">
        <v>49</v>
      </c>
      <c r="D16" s="2" t="s">
        <v>11</v>
      </c>
      <c r="E16" s="4" t="s">
        <v>12</v>
      </c>
      <c r="F16" s="2">
        <v>2018</v>
      </c>
      <c r="G16" s="2">
        <v>85</v>
      </c>
      <c r="H16" s="4">
        <v>7.15</v>
      </c>
    </row>
    <row r="17" spans="1:8">
      <c r="A17" s="2" t="s">
        <v>50</v>
      </c>
      <c r="B17" s="2" t="s">
        <v>51</v>
      </c>
      <c r="C17" s="2" t="s">
        <v>49</v>
      </c>
      <c r="D17" s="2" t="s">
        <v>11</v>
      </c>
      <c r="E17" s="4" t="s">
        <v>12</v>
      </c>
      <c r="F17" s="2">
        <v>2019</v>
      </c>
      <c r="G17" s="2">
        <v>85</v>
      </c>
      <c r="H17" s="4">
        <v>7.16</v>
      </c>
    </row>
    <row r="18" spans="1:8">
      <c r="A18" s="2" t="s">
        <v>52</v>
      </c>
      <c r="B18" s="2" t="s">
        <v>53</v>
      </c>
      <c r="C18" s="2" t="s">
        <v>54</v>
      </c>
      <c r="D18" s="2" t="s">
        <v>23</v>
      </c>
      <c r="E18" s="4" t="s">
        <v>41</v>
      </c>
      <c r="F18" s="2">
        <v>2022</v>
      </c>
      <c r="G18" s="2">
        <v>75</v>
      </c>
      <c r="H18" s="4">
        <v>7.17</v>
      </c>
    </row>
    <row r="19" spans="1:8">
      <c r="A19" s="2" t="s">
        <v>55</v>
      </c>
      <c r="B19" s="2" t="s">
        <v>56</v>
      </c>
      <c r="C19" s="2" t="s">
        <v>54</v>
      </c>
      <c r="D19" s="2" t="s">
        <v>23</v>
      </c>
      <c r="E19" s="4" t="s">
        <v>41</v>
      </c>
      <c r="F19" s="2">
        <v>2022</v>
      </c>
      <c r="G19" s="2">
        <v>75</v>
      </c>
      <c r="H19" s="4">
        <v>7.18</v>
      </c>
    </row>
    <row r="20" spans="1:8">
      <c r="A20" s="2" t="s">
        <v>57</v>
      </c>
      <c r="B20" s="2" t="s">
        <v>58</v>
      </c>
      <c r="C20" s="2" t="s">
        <v>59</v>
      </c>
      <c r="D20" s="2" t="s">
        <v>11</v>
      </c>
      <c r="E20" s="4" t="s">
        <v>12</v>
      </c>
      <c r="F20" s="2">
        <v>2019</v>
      </c>
      <c r="G20" s="2">
        <v>60</v>
      </c>
      <c r="H20" s="4">
        <v>7.19</v>
      </c>
    </row>
    <row r="21" spans="1:8">
      <c r="A21" s="2" t="s">
        <v>60</v>
      </c>
      <c r="B21" s="2" t="s">
        <v>61</v>
      </c>
      <c r="C21" s="2" t="s">
        <v>59</v>
      </c>
      <c r="D21" s="2" t="s">
        <v>11</v>
      </c>
      <c r="E21" s="4" t="s">
        <v>17</v>
      </c>
      <c r="F21" s="2">
        <v>2021</v>
      </c>
      <c r="G21" s="2">
        <v>60</v>
      </c>
      <c r="H21" s="4">
        <v>7.2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2375A-4490-41CF-BB96-1FF51361B725}">
  <dimension ref="A1:H501"/>
  <sheetViews>
    <sheetView topLeftCell="A328" workbookViewId="0">
      <selection activeCell="E15" sqref="E15"/>
    </sheetView>
  </sheetViews>
  <sheetFormatPr defaultRowHeight="15"/>
  <cols>
    <col min="1" max="1" width="12" bestFit="1" customWidth="1"/>
    <col min="2" max="2" width="17" bestFit="1" customWidth="1"/>
    <col min="3" max="3" width="18.28515625" bestFit="1" customWidth="1"/>
    <col min="4" max="4" width="17.85546875" bestFit="1" customWidth="1"/>
    <col min="5" max="5" width="16.85546875" bestFit="1" customWidth="1"/>
    <col min="6" max="6" width="17.7109375" bestFit="1" customWidth="1"/>
    <col min="7" max="7" width="13.140625" bestFit="1" customWidth="1"/>
  </cols>
  <sheetData>
    <row r="1" spans="1:8">
      <c r="A1" t="s">
        <v>62</v>
      </c>
      <c r="B1" t="s">
        <v>63</v>
      </c>
      <c r="C1" t="s">
        <v>0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</row>
    <row r="2" spans="1:8">
      <c r="A2" t="s">
        <v>69</v>
      </c>
      <c r="B2" s="3">
        <v>46023.333333333336</v>
      </c>
      <c r="C2" t="s">
        <v>8</v>
      </c>
      <c r="D2">
        <v>8</v>
      </c>
      <c r="E2">
        <v>74</v>
      </c>
      <c r="F2">
        <v>5.4</v>
      </c>
      <c r="G2">
        <v>12.9</v>
      </c>
      <c r="H2" t="s">
        <v>70</v>
      </c>
    </row>
    <row r="3" spans="1:8">
      <c r="A3" t="s">
        <v>71</v>
      </c>
      <c r="B3" s="3">
        <v>46023.333333333336</v>
      </c>
      <c r="C3" t="s">
        <v>13</v>
      </c>
      <c r="D3">
        <v>8</v>
      </c>
      <c r="E3">
        <v>67</v>
      </c>
      <c r="F3">
        <v>4.5</v>
      </c>
      <c r="G3">
        <v>15.8</v>
      </c>
      <c r="H3" t="s">
        <v>70</v>
      </c>
    </row>
    <row r="4" spans="1:8">
      <c r="A4" t="s">
        <v>72</v>
      </c>
      <c r="B4" s="3">
        <v>46023.333333333336</v>
      </c>
      <c r="C4" t="s">
        <v>15</v>
      </c>
      <c r="D4">
        <v>6</v>
      </c>
      <c r="E4">
        <v>72</v>
      </c>
      <c r="F4">
        <v>4.3</v>
      </c>
      <c r="G4">
        <v>15.2</v>
      </c>
      <c r="H4" t="s">
        <v>70</v>
      </c>
    </row>
    <row r="5" spans="1:8">
      <c r="A5" t="s">
        <v>73</v>
      </c>
      <c r="B5" s="3">
        <v>46023.333333333336</v>
      </c>
      <c r="C5" t="s">
        <v>18</v>
      </c>
      <c r="D5">
        <v>6</v>
      </c>
      <c r="E5">
        <v>77</v>
      </c>
      <c r="F5">
        <v>4.4000000000000004</v>
      </c>
      <c r="G5">
        <v>10.1</v>
      </c>
      <c r="H5" t="s">
        <v>70</v>
      </c>
    </row>
    <row r="6" spans="1:8">
      <c r="A6" t="s">
        <v>74</v>
      </c>
      <c r="B6" s="3">
        <v>46023.333333333336</v>
      </c>
      <c r="C6" t="s">
        <v>20</v>
      </c>
      <c r="D6">
        <v>6</v>
      </c>
      <c r="E6">
        <v>64</v>
      </c>
      <c r="F6">
        <v>4.3</v>
      </c>
      <c r="G6">
        <v>8.4</v>
      </c>
      <c r="H6" t="s">
        <v>70</v>
      </c>
    </row>
    <row r="7" spans="1:8">
      <c r="A7" t="s">
        <v>75</v>
      </c>
      <c r="B7" s="3">
        <v>46023.333333333336</v>
      </c>
      <c r="C7" t="s">
        <v>24</v>
      </c>
      <c r="D7">
        <v>8</v>
      </c>
      <c r="E7">
        <v>60</v>
      </c>
      <c r="F7">
        <v>4.9000000000000004</v>
      </c>
      <c r="G7">
        <v>10.8</v>
      </c>
      <c r="H7" t="s">
        <v>70</v>
      </c>
    </row>
    <row r="8" spans="1:8">
      <c r="A8" t="s">
        <v>76</v>
      </c>
      <c r="B8" s="3">
        <v>46023.333333333336</v>
      </c>
      <c r="C8" t="s">
        <v>26</v>
      </c>
      <c r="D8">
        <v>8</v>
      </c>
      <c r="E8">
        <v>66</v>
      </c>
      <c r="F8">
        <v>6.1</v>
      </c>
      <c r="G8">
        <v>12.5</v>
      </c>
      <c r="H8" t="s">
        <v>70</v>
      </c>
    </row>
    <row r="9" spans="1:8">
      <c r="A9" t="s">
        <v>77</v>
      </c>
      <c r="B9" s="3">
        <v>46023.333333333336</v>
      </c>
      <c r="C9" t="s">
        <v>28</v>
      </c>
      <c r="D9">
        <v>8</v>
      </c>
      <c r="E9">
        <v>94</v>
      </c>
      <c r="F9">
        <v>7.9</v>
      </c>
      <c r="G9">
        <v>14.3</v>
      </c>
      <c r="H9" t="s">
        <v>78</v>
      </c>
    </row>
    <row r="10" spans="1:8">
      <c r="A10" t="s">
        <v>79</v>
      </c>
      <c r="B10" s="3">
        <v>46023.333333333336</v>
      </c>
      <c r="C10" t="s">
        <v>31</v>
      </c>
      <c r="D10">
        <v>6</v>
      </c>
      <c r="E10">
        <v>77</v>
      </c>
      <c r="F10">
        <v>5.5</v>
      </c>
      <c r="G10">
        <v>12.7</v>
      </c>
      <c r="H10" t="s">
        <v>70</v>
      </c>
    </row>
    <row r="11" spans="1:8">
      <c r="A11" t="s">
        <v>80</v>
      </c>
      <c r="B11" s="3">
        <v>46023.333333333336</v>
      </c>
      <c r="C11" t="s">
        <v>33</v>
      </c>
      <c r="D11">
        <v>9</v>
      </c>
      <c r="E11">
        <v>58</v>
      </c>
      <c r="F11">
        <v>4.2</v>
      </c>
      <c r="G11">
        <v>14.8</v>
      </c>
      <c r="H11" t="s">
        <v>70</v>
      </c>
    </row>
    <row r="12" spans="1:8">
      <c r="A12" t="s">
        <v>81</v>
      </c>
      <c r="B12" s="3">
        <v>46023.333333333336</v>
      </c>
      <c r="C12" t="s">
        <v>36</v>
      </c>
      <c r="D12">
        <v>7</v>
      </c>
      <c r="E12">
        <v>59</v>
      </c>
      <c r="F12">
        <v>4.0999999999999996</v>
      </c>
      <c r="G12">
        <v>8.1</v>
      </c>
      <c r="H12" t="s">
        <v>70</v>
      </c>
    </row>
    <row r="13" spans="1:8">
      <c r="A13" t="s">
        <v>82</v>
      </c>
      <c r="B13" s="3">
        <v>46023.333333333336</v>
      </c>
      <c r="C13" t="s">
        <v>38</v>
      </c>
      <c r="D13">
        <v>10</v>
      </c>
      <c r="E13">
        <v>59</v>
      </c>
      <c r="F13">
        <v>3.7</v>
      </c>
      <c r="G13">
        <v>15.7</v>
      </c>
      <c r="H13" t="s">
        <v>70</v>
      </c>
    </row>
    <row r="14" spans="1:8">
      <c r="A14" t="s">
        <v>83</v>
      </c>
      <c r="B14" s="3">
        <v>46023.333333333336</v>
      </c>
      <c r="C14" t="s">
        <v>42</v>
      </c>
      <c r="D14">
        <v>7</v>
      </c>
      <c r="E14">
        <v>78</v>
      </c>
      <c r="F14">
        <v>7.7</v>
      </c>
      <c r="G14">
        <v>19.100000000000001</v>
      </c>
      <c r="H14" t="s">
        <v>84</v>
      </c>
    </row>
    <row r="15" spans="1:8">
      <c r="A15" t="s">
        <v>85</v>
      </c>
      <c r="B15" s="3">
        <v>46023.333333333336</v>
      </c>
      <c r="C15" t="s">
        <v>45</v>
      </c>
      <c r="D15">
        <v>9</v>
      </c>
      <c r="E15">
        <v>71</v>
      </c>
      <c r="F15">
        <v>4.3</v>
      </c>
      <c r="G15">
        <v>12</v>
      </c>
      <c r="H15" t="s">
        <v>70</v>
      </c>
    </row>
    <row r="16" spans="1:8">
      <c r="A16" t="s">
        <v>86</v>
      </c>
      <c r="B16" s="3">
        <v>46023.333333333336</v>
      </c>
      <c r="C16" t="s">
        <v>47</v>
      </c>
      <c r="D16">
        <v>8</v>
      </c>
      <c r="E16">
        <v>86</v>
      </c>
      <c r="F16">
        <v>7.6</v>
      </c>
      <c r="G16">
        <v>19.100000000000001</v>
      </c>
      <c r="H16" t="s">
        <v>78</v>
      </c>
    </row>
    <row r="17" spans="1:8">
      <c r="A17" t="s">
        <v>87</v>
      </c>
      <c r="B17" s="3">
        <v>46023.333333333336</v>
      </c>
      <c r="C17" t="s">
        <v>50</v>
      </c>
      <c r="D17">
        <v>10</v>
      </c>
      <c r="E17">
        <v>76</v>
      </c>
      <c r="F17">
        <v>4.4000000000000004</v>
      </c>
      <c r="G17">
        <v>11.9</v>
      </c>
      <c r="H17" t="s">
        <v>70</v>
      </c>
    </row>
    <row r="18" spans="1:8">
      <c r="A18" t="s">
        <v>88</v>
      </c>
      <c r="B18" s="3">
        <v>46023.333333333336</v>
      </c>
      <c r="C18" t="s">
        <v>52</v>
      </c>
      <c r="D18">
        <v>9</v>
      </c>
      <c r="E18">
        <v>69</v>
      </c>
      <c r="F18">
        <v>5.7</v>
      </c>
      <c r="G18">
        <v>13.1</v>
      </c>
      <c r="H18" t="s">
        <v>70</v>
      </c>
    </row>
    <row r="19" spans="1:8">
      <c r="A19" t="s">
        <v>89</v>
      </c>
      <c r="B19" s="3">
        <v>46023.333333333336</v>
      </c>
      <c r="C19" t="s">
        <v>55</v>
      </c>
      <c r="D19">
        <v>6</v>
      </c>
      <c r="E19">
        <v>65</v>
      </c>
      <c r="F19">
        <v>4.8</v>
      </c>
      <c r="G19">
        <v>15.9</v>
      </c>
      <c r="H19" t="s">
        <v>70</v>
      </c>
    </row>
    <row r="20" spans="1:8">
      <c r="A20" t="s">
        <v>90</v>
      </c>
      <c r="B20" s="3">
        <v>46023.333333333336</v>
      </c>
      <c r="C20" t="s">
        <v>57</v>
      </c>
      <c r="D20">
        <v>6</v>
      </c>
      <c r="E20">
        <v>50</v>
      </c>
      <c r="F20">
        <v>4.7</v>
      </c>
      <c r="G20">
        <v>8.8000000000000007</v>
      </c>
      <c r="H20" t="s">
        <v>70</v>
      </c>
    </row>
    <row r="21" spans="1:8">
      <c r="A21" t="s">
        <v>91</v>
      </c>
      <c r="B21" s="3">
        <v>46023.333333333336</v>
      </c>
      <c r="C21" t="s">
        <v>60</v>
      </c>
      <c r="D21">
        <v>8</v>
      </c>
      <c r="E21">
        <v>52</v>
      </c>
      <c r="F21">
        <v>4.5999999999999996</v>
      </c>
      <c r="G21">
        <v>8.9</v>
      </c>
      <c r="H21" t="s">
        <v>70</v>
      </c>
    </row>
    <row r="22" spans="1:8">
      <c r="A22" t="s">
        <v>92</v>
      </c>
      <c r="B22" s="3">
        <v>46024.333333333336</v>
      </c>
      <c r="C22" t="s">
        <v>8</v>
      </c>
      <c r="D22">
        <v>9</v>
      </c>
      <c r="E22">
        <v>65</v>
      </c>
      <c r="F22">
        <v>5.3</v>
      </c>
      <c r="G22">
        <v>11.2</v>
      </c>
      <c r="H22" t="s">
        <v>70</v>
      </c>
    </row>
    <row r="23" spans="1:8">
      <c r="A23" t="s">
        <v>93</v>
      </c>
      <c r="B23" s="3">
        <v>46024.333333333336</v>
      </c>
      <c r="C23" t="s">
        <v>13</v>
      </c>
      <c r="D23">
        <v>8</v>
      </c>
      <c r="E23">
        <v>71</v>
      </c>
      <c r="F23">
        <v>5.7</v>
      </c>
      <c r="G23">
        <v>14.7</v>
      </c>
      <c r="H23" t="s">
        <v>70</v>
      </c>
    </row>
    <row r="24" spans="1:8">
      <c r="A24" t="s">
        <v>94</v>
      </c>
      <c r="B24" s="3">
        <v>46024.333333333336</v>
      </c>
      <c r="C24" t="s">
        <v>15</v>
      </c>
      <c r="D24">
        <v>8</v>
      </c>
      <c r="E24">
        <v>80</v>
      </c>
      <c r="F24">
        <v>4.0999999999999996</v>
      </c>
      <c r="G24">
        <v>12.7</v>
      </c>
      <c r="H24" t="s">
        <v>70</v>
      </c>
    </row>
    <row r="25" spans="1:8">
      <c r="A25" t="s">
        <v>95</v>
      </c>
      <c r="B25" s="3">
        <v>46024.333333333336</v>
      </c>
      <c r="C25" t="s">
        <v>18</v>
      </c>
      <c r="D25">
        <v>7</v>
      </c>
      <c r="E25">
        <v>75</v>
      </c>
      <c r="F25">
        <v>4.3</v>
      </c>
      <c r="G25">
        <v>14.5</v>
      </c>
      <c r="H25" t="s">
        <v>70</v>
      </c>
    </row>
    <row r="26" spans="1:8">
      <c r="A26" t="s">
        <v>96</v>
      </c>
      <c r="B26" s="3">
        <v>46024.333333333336</v>
      </c>
      <c r="C26" t="s">
        <v>20</v>
      </c>
      <c r="D26">
        <v>6</v>
      </c>
      <c r="E26">
        <v>64</v>
      </c>
      <c r="F26">
        <v>4.4000000000000004</v>
      </c>
      <c r="G26">
        <v>12.4</v>
      </c>
      <c r="H26" t="s">
        <v>70</v>
      </c>
    </row>
    <row r="27" spans="1:8">
      <c r="A27" t="s">
        <v>97</v>
      </c>
      <c r="B27" s="3">
        <v>46024.333333333336</v>
      </c>
      <c r="C27" t="s">
        <v>24</v>
      </c>
      <c r="D27">
        <v>6</v>
      </c>
      <c r="E27">
        <v>62</v>
      </c>
      <c r="F27">
        <v>6.5</v>
      </c>
      <c r="G27">
        <v>10</v>
      </c>
      <c r="H27" t="s">
        <v>70</v>
      </c>
    </row>
    <row r="28" spans="1:8">
      <c r="A28" t="s">
        <v>98</v>
      </c>
      <c r="B28" s="3">
        <v>46024.333333333336</v>
      </c>
      <c r="C28" t="s">
        <v>26</v>
      </c>
      <c r="D28">
        <v>6</v>
      </c>
      <c r="E28">
        <v>73</v>
      </c>
      <c r="F28">
        <v>6</v>
      </c>
      <c r="G28">
        <v>12.7</v>
      </c>
      <c r="H28" t="s">
        <v>70</v>
      </c>
    </row>
    <row r="29" spans="1:8">
      <c r="A29" t="s">
        <v>99</v>
      </c>
      <c r="B29" s="3">
        <v>46024.333333333336</v>
      </c>
      <c r="C29" t="s">
        <v>28</v>
      </c>
      <c r="D29">
        <v>8</v>
      </c>
      <c r="E29">
        <v>95</v>
      </c>
      <c r="F29">
        <v>8.4</v>
      </c>
      <c r="G29">
        <v>16.2</v>
      </c>
      <c r="H29" t="s">
        <v>78</v>
      </c>
    </row>
    <row r="30" spans="1:8">
      <c r="A30" t="s">
        <v>100</v>
      </c>
      <c r="B30" s="3">
        <v>46024.333333333336</v>
      </c>
      <c r="C30" t="s">
        <v>31</v>
      </c>
      <c r="D30">
        <v>9</v>
      </c>
      <c r="E30">
        <v>75</v>
      </c>
      <c r="F30">
        <v>6.3</v>
      </c>
      <c r="G30">
        <v>12.3</v>
      </c>
      <c r="H30" t="s">
        <v>70</v>
      </c>
    </row>
    <row r="31" spans="1:8">
      <c r="A31" t="s">
        <v>101</v>
      </c>
      <c r="B31" s="3">
        <v>46024.333333333336</v>
      </c>
      <c r="C31" t="s">
        <v>33</v>
      </c>
      <c r="D31">
        <v>9</v>
      </c>
      <c r="E31">
        <v>55</v>
      </c>
      <c r="F31">
        <v>3.2</v>
      </c>
      <c r="G31">
        <v>15.7</v>
      </c>
      <c r="H31" t="s">
        <v>70</v>
      </c>
    </row>
    <row r="32" spans="1:8">
      <c r="A32" t="s">
        <v>102</v>
      </c>
      <c r="B32" s="3">
        <v>46024.333333333336</v>
      </c>
      <c r="C32" t="s">
        <v>36</v>
      </c>
      <c r="D32">
        <v>8</v>
      </c>
      <c r="E32">
        <v>57</v>
      </c>
      <c r="F32">
        <v>5.3</v>
      </c>
      <c r="G32">
        <v>9.3000000000000007</v>
      </c>
      <c r="H32" t="s">
        <v>70</v>
      </c>
    </row>
    <row r="33" spans="1:8">
      <c r="A33" t="s">
        <v>103</v>
      </c>
      <c r="B33" s="3">
        <v>46024.333333333336</v>
      </c>
      <c r="C33" t="s">
        <v>38</v>
      </c>
      <c r="D33">
        <v>8</v>
      </c>
      <c r="E33">
        <v>64</v>
      </c>
      <c r="F33">
        <v>4.5999999999999996</v>
      </c>
      <c r="G33">
        <v>13.9</v>
      </c>
      <c r="H33" t="s">
        <v>70</v>
      </c>
    </row>
    <row r="34" spans="1:8">
      <c r="A34" t="s">
        <v>104</v>
      </c>
      <c r="B34" s="3">
        <v>46024.333333333336</v>
      </c>
      <c r="C34" t="s">
        <v>42</v>
      </c>
      <c r="D34">
        <v>9</v>
      </c>
      <c r="E34">
        <v>86</v>
      </c>
      <c r="F34">
        <v>8</v>
      </c>
      <c r="G34">
        <v>18.5</v>
      </c>
      <c r="H34" t="s">
        <v>78</v>
      </c>
    </row>
    <row r="35" spans="1:8">
      <c r="A35" t="s">
        <v>105</v>
      </c>
      <c r="B35" s="3">
        <v>46024.333333333336</v>
      </c>
      <c r="C35" t="s">
        <v>45</v>
      </c>
      <c r="D35">
        <v>7</v>
      </c>
      <c r="E35">
        <v>71</v>
      </c>
      <c r="F35">
        <v>4.0999999999999996</v>
      </c>
      <c r="G35">
        <v>12</v>
      </c>
      <c r="H35" t="s">
        <v>70</v>
      </c>
    </row>
    <row r="36" spans="1:8">
      <c r="A36" t="s">
        <v>106</v>
      </c>
      <c r="B36" s="3">
        <v>46024.333333333336</v>
      </c>
      <c r="C36" t="s">
        <v>47</v>
      </c>
      <c r="D36">
        <v>9</v>
      </c>
      <c r="E36">
        <v>91</v>
      </c>
      <c r="F36">
        <v>6.9</v>
      </c>
      <c r="G36">
        <v>14.9</v>
      </c>
      <c r="H36" t="s">
        <v>84</v>
      </c>
    </row>
    <row r="37" spans="1:8">
      <c r="A37" t="s">
        <v>107</v>
      </c>
      <c r="B37" s="3">
        <v>46024.333333333336</v>
      </c>
      <c r="C37" t="s">
        <v>50</v>
      </c>
      <c r="D37">
        <v>8</v>
      </c>
      <c r="E37">
        <v>80</v>
      </c>
      <c r="F37">
        <v>5.9</v>
      </c>
      <c r="G37">
        <v>15.6</v>
      </c>
      <c r="H37" t="s">
        <v>70</v>
      </c>
    </row>
    <row r="38" spans="1:8">
      <c r="A38" t="s">
        <v>108</v>
      </c>
      <c r="B38" s="3">
        <v>46024.333333333336</v>
      </c>
      <c r="C38" t="s">
        <v>52</v>
      </c>
      <c r="D38">
        <v>8</v>
      </c>
      <c r="E38">
        <v>66</v>
      </c>
      <c r="F38">
        <v>4.7</v>
      </c>
      <c r="G38">
        <v>12.5</v>
      </c>
      <c r="H38" t="s">
        <v>70</v>
      </c>
    </row>
    <row r="39" spans="1:8">
      <c r="A39" t="s">
        <v>109</v>
      </c>
      <c r="B39" s="3">
        <v>46024.333333333336</v>
      </c>
      <c r="C39" t="s">
        <v>55</v>
      </c>
      <c r="D39">
        <v>7</v>
      </c>
      <c r="E39">
        <v>69</v>
      </c>
      <c r="F39">
        <v>4.2</v>
      </c>
      <c r="G39">
        <v>8.5</v>
      </c>
      <c r="H39" t="s">
        <v>70</v>
      </c>
    </row>
    <row r="40" spans="1:8">
      <c r="A40" t="s">
        <v>110</v>
      </c>
      <c r="B40" s="3">
        <v>46024.333333333336</v>
      </c>
      <c r="C40" t="s">
        <v>57</v>
      </c>
      <c r="D40">
        <v>10</v>
      </c>
      <c r="E40">
        <v>48</v>
      </c>
      <c r="F40">
        <v>5.9</v>
      </c>
      <c r="G40">
        <v>8.4</v>
      </c>
      <c r="H40" t="s">
        <v>70</v>
      </c>
    </row>
    <row r="41" spans="1:8">
      <c r="A41" t="s">
        <v>111</v>
      </c>
      <c r="B41" s="3">
        <v>46024.333333333336</v>
      </c>
      <c r="C41" t="s">
        <v>60</v>
      </c>
      <c r="D41">
        <v>7</v>
      </c>
      <c r="E41">
        <v>54</v>
      </c>
      <c r="F41">
        <v>5.6</v>
      </c>
      <c r="G41">
        <v>15.2</v>
      </c>
      <c r="H41" t="s">
        <v>70</v>
      </c>
    </row>
    <row r="42" spans="1:8">
      <c r="A42" t="s">
        <v>112</v>
      </c>
      <c r="B42" s="3">
        <v>46025.333333333336</v>
      </c>
      <c r="C42" t="s">
        <v>8</v>
      </c>
      <c r="D42">
        <v>6</v>
      </c>
      <c r="E42">
        <v>70</v>
      </c>
      <c r="F42">
        <v>4.2</v>
      </c>
      <c r="G42">
        <v>13.7</v>
      </c>
      <c r="H42" t="s">
        <v>70</v>
      </c>
    </row>
    <row r="43" spans="1:8">
      <c r="A43" t="s">
        <v>113</v>
      </c>
      <c r="B43" s="3">
        <v>46025.333333333336</v>
      </c>
      <c r="C43" t="s">
        <v>13</v>
      </c>
      <c r="D43">
        <v>6</v>
      </c>
      <c r="E43">
        <v>69</v>
      </c>
      <c r="F43">
        <v>4.5</v>
      </c>
      <c r="G43">
        <v>15.1</v>
      </c>
      <c r="H43" t="s">
        <v>70</v>
      </c>
    </row>
    <row r="44" spans="1:8">
      <c r="A44" t="s">
        <v>114</v>
      </c>
      <c r="B44" s="3">
        <v>46025.333333333336</v>
      </c>
      <c r="C44" t="s">
        <v>15</v>
      </c>
      <c r="D44">
        <v>7</v>
      </c>
      <c r="E44">
        <v>77</v>
      </c>
      <c r="F44">
        <v>3.7</v>
      </c>
      <c r="G44">
        <v>10.1</v>
      </c>
      <c r="H44" t="s">
        <v>70</v>
      </c>
    </row>
    <row r="45" spans="1:8">
      <c r="A45" t="s">
        <v>115</v>
      </c>
      <c r="B45" s="3">
        <v>46025.333333333336</v>
      </c>
      <c r="C45" t="s">
        <v>18</v>
      </c>
      <c r="D45">
        <v>10</v>
      </c>
      <c r="E45">
        <v>76</v>
      </c>
      <c r="F45">
        <v>4.5999999999999996</v>
      </c>
      <c r="G45">
        <v>11.3</v>
      </c>
      <c r="H45" t="s">
        <v>70</v>
      </c>
    </row>
    <row r="46" spans="1:8">
      <c r="A46" t="s">
        <v>116</v>
      </c>
      <c r="B46" s="3">
        <v>46025.333333333336</v>
      </c>
      <c r="C46" t="s">
        <v>20</v>
      </c>
      <c r="D46">
        <v>10</v>
      </c>
      <c r="E46">
        <v>64</v>
      </c>
      <c r="F46">
        <v>3.6</v>
      </c>
      <c r="G46">
        <v>11.6</v>
      </c>
      <c r="H46" t="s">
        <v>70</v>
      </c>
    </row>
    <row r="47" spans="1:8">
      <c r="A47" t="s">
        <v>117</v>
      </c>
      <c r="B47" s="3">
        <v>46025.333333333336</v>
      </c>
      <c r="C47" t="s">
        <v>24</v>
      </c>
      <c r="D47">
        <v>9</v>
      </c>
      <c r="E47">
        <v>69</v>
      </c>
      <c r="F47">
        <v>6</v>
      </c>
      <c r="G47">
        <v>15.6</v>
      </c>
      <c r="H47" t="s">
        <v>70</v>
      </c>
    </row>
    <row r="48" spans="1:8">
      <c r="A48" t="s">
        <v>118</v>
      </c>
      <c r="B48" s="3">
        <v>46025.333333333336</v>
      </c>
      <c r="C48" t="s">
        <v>26</v>
      </c>
      <c r="D48">
        <v>10</v>
      </c>
      <c r="E48">
        <v>63</v>
      </c>
      <c r="F48">
        <v>6.2</v>
      </c>
      <c r="G48">
        <v>8.9</v>
      </c>
      <c r="H48" t="s">
        <v>70</v>
      </c>
    </row>
    <row r="49" spans="1:8">
      <c r="A49" t="s">
        <v>119</v>
      </c>
      <c r="B49" s="3">
        <v>46025.333333333336</v>
      </c>
      <c r="C49" t="s">
        <v>28</v>
      </c>
      <c r="D49">
        <v>6</v>
      </c>
      <c r="E49">
        <v>91</v>
      </c>
      <c r="F49">
        <v>7.4</v>
      </c>
      <c r="G49">
        <v>21.3</v>
      </c>
      <c r="H49" t="s">
        <v>84</v>
      </c>
    </row>
    <row r="50" spans="1:8">
      <c r="A50" t="s">
        <v>120</v>
      </c>
      <c r="B50" s="3">
        <v>46025.333333333336</v>
      </c>
      <c r="C50" t="s">
        <v>31</v>
      </c>
      <c r="D50">
        <v>9</v>
      </c>
      <c r="E50">
        <v>85</v>
      </c>
      <c r="F50">
        <v>6.6</v>
      </c>
      <c r="G50">
        <v>14</v>
      </c>
      <c r="H50" t="s">
        <v>70</v>
      </c>
    </row>
    <row r="51" spans="1:8">
      <c r="A51" t="s">
        <v>121</v>
      </c>
      <c r="B51" s="3">
        <v>46025.333333333336</v>
      </c>
      <c r="C51" t="s">
        <v>33</v>
      </c>
      <c r="D51">
        <v>8</v>
      </c>
      <c r="E51">
        <v>58</v>
      </c>
      <c r="F51">
        <v>5.0999999999999996</v>
      </c>
      <c r="G51">
        <v>8.1999999999999993</v>
      </c>
      <c r="H51" t="s">
        <v>70</v>
      </c>
    </row>
    <row r="52" spans="1:8">
      <c r="A52" t="s">
        <v>122</v>
      </c>
      <c r="B52" s="3">
        <v>46025.333333333336</v>
      </c>
      <c r="C52" t="s">
        <v>36</v>
      </c>
      <c r="D52">
        <v>8</v>
      </c>
      <c r="E52">
        <v>63</v>
      </c>
      <c r="F52">
        <v>4.8</v>
      </c>
      <c r="G52">
        <v>8.5</v>
      </c>
      <c r="H52" t="s">
        <v>70</v>
      </c>
    </row>
    <row r="53" spans="1:8">
      <c r="A53" t="s">
        <v>123</v>
      </c>
      <c r="B53" s="3">
        <v>46025.333333333336</v>
      </c>
      <c r="C53" t="s">
        <v>38</v>
      </c>
      <c r="D53">
        <v>9</v>
      </c>
      <c r="E53">
        <v>60</v>
      </c>
      <c r="F53">
        <v>4</v>
      </c>
      <c r="G53">
        <v>15.7</v>
      </c>
      <c r="H53" t="s">
        <v>70</v>
      </c>
    </row>
    <row r="54" spans="1:8">
      <c r="A54" t="s">
        <v>124</v>
      </c>
      <c r="B54" s="3">
        <v>46025.333333333336</v>
      </c>
      <c r="C54" t="s">
        <v>42</v>
      </c>
      <c r="D54">
        <v>10</v>
      </c>
      <c r="E54">
        <v>89</v>
      </c>
      <c r="F54">
        <v>7.9</v>
      </c>
      <c r="G54">
        <v>18.399999999999999</v>
      </c>
      <c r="H54" t="s">
        <v>78</v>
      </c>
    </row>
    <row r="55" spans="1:8">
      <c r="A55" t="s">
        <v>125</v>
      </c>
      <c r="B55" s="3">
        <v>46025.333333333336</v>
      </c>
      <c r="C55" t="s">
        <v>45</v>
      </c>
      <c r="D55">
        <v>8</v>
      </c>
      <c r="E55">
        <v>68</v>
      </c>
      <c r="F55">
        <v>3.5</v>
      </c>
      <c r="G55">
        <v>11.4</v>
      </c>
      <c r="H55" t="s">
        <v>70</v>
      </c>
    </row>
    <row r="56" spans="1:8">
      <c r="A56" t="s">
        <v>126</v>
      </c>
      <c r="B56" s="3">
        <v>46025.333333333336</v>
      </c>
      <c r="C56" t="s">
        <v>47</v>
      </c>
      <c r="D56">
        <v>9</v>
      </c>
      <c r="E56">
        <v>94</v>
      </c>
      <c r="F56">
        <v>6.9</v>
      </c>
      <c r="G56">
        <v>16.3</v>
      </c>
      <c r="H56" t="s">
        <v>84</v>
      </c>
    </row>
    <row r="57" spans="1:8">
      <c r="A57" t="s">
        <v>127</v>
      </c>
      <c r="B57" s="3">
        <v>46025.333333333336</v>
      </c>
      <c r="C57" t="s">
        <v>50</v>
      </c>
      <c r="D57">
        <v>10</v>
      </c>
      <c r="E57">
        <v>76</v>
      </c>
      <c r="F57">
        <v>4.9000000000000004</v>
      </c>
      <c r="G57">
        <v>10</v>
      </c>
      <c r="H57" t="s">
        <v>70</v>
      </c>
    </row>
    <row r="58" spans="1:8">
      <c r="A58" t="s">
        <v>128</v>
      </c>
      <c r="B58" s="3">
        <v>46025.333333333336</v>
      </c>
      <c r="C58" t="s">
        <v>52</v>
      </c>
      <c r="D58">
        <v>7</v>
      </c>
      <c r="E58">
        <v>62</v>
      </c>
      <c r="F58">
        <v>5.0999999999999996</v>
      </c>
      <c r="G58">
        <v>14</v>
      </c>
      <c r="H58" t="s">
        <v>70</v>
      </c>
    </row>
    <row r="59" spans="1:8">
      <c r="A59" t="s">
        <v>129</v>
      </c>
      <c r="B59" s="3">
        <v>46025.333333333336</v>
      </c>
      <c r="C59" t="s">
        <v>55</v>
      </c>
      <c r="D59">
        <v>8</v>
      </c>
      <c r="E59">
        <v>62</v>
      </c>
      <c r="F59">
        <v>5.5</v>
      </c>
      <c r="G59">
        <v>15.4</v>
      </c>
      <c r="H59" t="s">
        <v>70</v>
      </c>
    </row>
    <row r="60" spans="1:8">
      <c r="A60" t="s">
        <v>130</v>
      </c>
      <c r="B60" s="3">
        <v>46025.333333333336</v>
      </c>
      <c r="C60" t="s">
        <v>57</v>
      </c>
      <c r="D60">
        <v>9</v>
      </c>
      <c r="E60">
        <v>48</v>
      </c>
      <c r="F60">
        <v>5.3</v>
      </c>
      <c r="G60">
        <v>8.9</v>
      </c>
      <c r="H60" t="s">
        <v>70</v>
      </c>
    </row>
    <row r="61" spans="1:8">
      <c r="A61" t="s">
        <v>131</v>
      </c>
      <c r="B61" s="3">
        <v>46025.333333333336</v>
      </c>
      <c r="C61" t="s">
        <v>60</v>
      </c>
      <c r="D61">
        <v>6</v>
      </c>
      <c r="E61">
        <v>53</v>
      </c>
      <c r="F61">
        <v>5.5</v>
      </c>
      <c r="G61">
        <v>9.1999999999999993</v>
      </c>
      <c r="H61" t="s">
        <v>70</v>
      </c>
    </row>
    <row r="62" spans="1:8">
      <c r="A62" t="s">
        <v>132</v>
      </c>
      <c r="B62" s="3">
        <v>46026.333333333336</v>
      </c>
      <c r="C62" t="s">
        <v>8</v>
      </c>
      <c r="D62">
        <v>9</v>
      </c>
      <c r="E62">
        <v>69</v>
      </c>
      <c r="F62">
        <v>6</v>
      </c>
      <c r="G62">
        <v>12.2</v>
      </c>
      <c r="H62" t="s">
        <v>70</v>
      </c>
    </row>
    <row r="63" spans="1:8">
      <c r="A63" t="s">
        <v>133</v>
      </c>
      <c r="B63" s="3">
        <v>46026.333333333336</v>
      </c>
      <c r="C63" t="s">
        <v>13</v>
      </c>
      <c r="D63">
        <v>10</v>
      </c>
      <c r="E63">
        <v>72</v>
      </c>
      <c r="F63">
        <v>3.3</v>
      </c>
      <c r="G63">
        <v>13.7</v>
      </c>
      <c r="H63" t="s">
        <v>70</v>
      </c>
    </row>
    <row r="64" spans="1:8">
      <c r="A64" t="s">
        <v>134</v>
      </c>
      <c r="B64" s="3">
        <v>46026.333333333336</v>
      </c>
      <c r="C64" t="s">
        <v>15</v>
      </c>
      <c r="D64">
        <v>9</v>
      </c>
      <c r="E64">
        <v>80</v>
      </c>
      <c r="F64">
        <v>5.4</v>
      </c>
      <c r="G64">
        <v>10.4</v>
      </c>
      <c r="H64" t="s">
        <v>70</v>
      </c>
    </row>
    <row r="65" spans="1:8">
      <c r="A65" t="s">
        <v>135</v>
      </c>
      <c r="B65" s="3">
        <v>46026.333333333336</v>
      </c>
      <c r="C65" t="s">
        <v>18</v>
      </c>
      <c r="D65">
        <v>8</v>
      </c>
      <c r="E65">
        <v>80</v>
      </c>
      <c r="F65">
        <v>5.5</v>
      </c>
      <c r="G65">
        <v>11.5</v>
      </c>
      <c r="H65" t="s">
        <v>70</v>
      </c>
    </row>
    <row r="66" spans="1:8">
      <c r="A66" t="s">
        <v>136</v>
      </c>
      <c r="B66" s="3">
        <v>46026.333333333336</v>
      </c>
      <c r="C66" t="s">
        <v>20</v>
      </c>
      <c r="D66">
        <v>6</v>
      </c>
      <c r="E66">
        <v>62</v>
      </c>
      <c r="F66">
        <v>4.5</v>
      </c>
      <c r="G66">
        <v>13.8</v>
      </c>
      <c r="H66" t="s">
        <v>70</v>
      </c>
    </row>
    <row r="67" spans="1:8">
      <c r="A67" t="s">
        <v>137</v>
      </c>
      <c r="B67" s="3">
        <v>46026.333333333336</v>
      </c>
      <c r="C67" t="s">
        <v>24</v>
      </c>
      <c r="D67">
        <v>10</v>
      </c>
      <c r="E67">
        <v>69</v>
      </c>
      <c r="F67">
        <v>5.6</v>
      </c>
      <c r="G67">
        <v>11.3</v>
      </c>
      <c r="H67" t="s">
        <v>70</v>
      </c>
    </row>
    <row r="68" spans="1:8">
      <c r="A68" t="s">
        <v>138</v>
      </c>
      <c r="B68" s="3">
        <v>46026.333333333336</v>
      </c>
      <c r="C68" t="s">
        <v>26</v>
      </c>
      <c r="D68">
        <v>8</v>
      </c>
      <c r="E68">
        <v>65</v>
      </c>
      <c r="F68">
        <v>4.5999999999999996</v>
      </c>
      <c r="G68">
        <v>9.1999999999999993</v>
      </c>
      <c r="H68" t="s">
        <v>70</v>
      </c>
    </row>
    <row r="69" spans="1:8">
      <c r="A69" t="s">
        <v>139</v>
      </c>
      <c r="B69" s="3">
        <v>46026.333333333336</v>
      </c>
      <c r="C69" t="s">
        <v>28</v>
      </c>
      <c r="D69">
        <v>7</v>
      </c>
      <c r="E69">
        <v>91</v>
      </c>
      <c r="F69">
        <v>8</v>
      </c>
      <c r="G69">
        <v>21.9</v>
      </c>
      <c r="H69" t="s">
        <v>78</v>
      </c>
    </row>
    <row r="70" spans="1:8">
      <c r="A70" t="s">
        <v>140</v>
      </c>
      <c r="B70" s="3">
        <v>46026.333333333336</v>
      </c>
      <c r="C70" t="s">
        <v>31</v>
      </c>
      <c r="D70">
        <v>10</v>
      </c>
      <c r="E70">
        <v>78</v>
      </c>
      <c r="F70">
        <v>4.8</v>
      </c>
      <c r="G70">
        <v>13.2</v>
      </c>
      <c r="H70" t="s">
        <v>70</v>
      </c>
    </row>
    <row r="71" spans="1:8">
      <c r="A71" t="s">
        <v>141</v>
      </c>
      <c r="B71" s="3">
        <v>46026.333333333336</v>
      </c>
      <c r="C71" t="s">
        <v>33</v>
      </c>
      <c r="D71">
        <v>10</v>
      </c>
      <c r="E71">
        <v>55</v>
      </c>
      <c r="F71">
        <v>4.2</v>
      </c>
      <c r="G71">
        <v>13.5</v>
      </c>
      <c r="H71" t="s">
        <v>70</v>
      </c>
    </row>
    <row r="72" spans="1:8">
      <c r="A72" t="s">
        <v>142</v>
      </c>
      <c r="B72" s="3">
        <v>46026.333333333336</v>
      </c>
      <c r="C72" t="s">
        <v>36</v>
      </c>
      <c r="D72">
        <v>8</v>
      </c>
      <c r="E72">
        <v>65</v>
      </c>
      <c r="F72">
        <v>4.8</v>
      </c>
      <c r="G72">
        <v>15.3</v>
      </c>
      <c r="H72" t="s">
        <v>70</v>
      </c>
    </row>
    <row r="73" spans="1:8">
      <c r="A73" t="s">
        <v>143</v>
      </c>
      <c r="B73" s="3">
        <v>46026.333333333336</v>
      </c>
      <c r="C73" t="s">
        <v>38</v>
      </c>
      <c r="D73">
        <v>9</v>
      </c>
      <c r="E73">
        <v>63</v>
      </c>
      <c r="F73">
        <v>3.3</v>
      </c>
      <c r="G73">
        <v>9.3000000000000007</v>
      </c>
      <c r="H73" t="s">
        <v>70</v>
      </c>
    </row>
    <row r="74" spans="1:8">
      <c r="A74" t="s">
        <v>144</v>
      </c>
      <c r="B74" s="3">
        <v>46026.333333333336</v>
      </c>
      <c r="C74" t="s">
        <v>42</v>
      </c>
      <c r="D74">
        <v>10</v>
      </c>
      <c r="E74">
        <v>87</v>
      </c>
      <c r="F74">
        <v>7</v>
      </c>
      <c r="G74">
        <v>21.8</v>
      </c>
      <c r="H74" t="s">
        <v>84</v>
      </c>
    </row>
    <row r="75" spans="1:8">
      <c r="A75" t="s">
        <v>145</v>
      </c>
      <c r="B75" s="3">
        <v>46026.333333333336</v>
      </c>
      <c r="C75" t="s">
        <v>45</v>
      </c>
      <c r="D75">
        <v>7</v>
      </c>
      <c r="E75">
        <v>71</v>
      </c>
      <c r="F75">
        <v>4.4000000000000004</v>
      </c>
      <c r="G75">
        <v>13.2</v>
      </c>
      <c r="H75" t="s">
        <v>70</v>
      </c>
    </row>
    <row r="76" spans="1:8">
      <c r="A76" t="s">
        <v>146</v>
      </c>
      <c r="B76" s="3">
        <v>46026.333333333336</v>
      </c>
      <c r="C76" t="s">
        <v>47</v>
      </c>
      <c r="D76">
        <v>8</v>
      </c>
      <c r="E76">
        <v>85</v>
      </c>
      <c r="F76">
        <v>7.2</v>
      </c>
      <c r="G76">
        <v>15.8</v>
      </c>
      <c r="H76" t="s">
        <v>84</v>
      </c>
    </row>
    <row r="77" spans="1:8">
      <c r="A77" t="s">
        <v>147</v>
      </c>
      <c r="B77" s="3">
        <v>46026.333333333336</v>
      </c>
      <c r="C77" t="s">
        <v>50</v>
      </c>
      <c r="D77">
        <v>9</v>
      </c>
      <c r="E77">
        <v>70</v>
      </c>
      <c r="F77">
        <v>5.9</v>
      </c>
      <c r="G77">
        <v>11.7</v>
      </c>
      <c r="H77" t="s">
        <v>70</v>
      </c>
    </row>
    <row r="78" spans="1:8">
      <c r="A78" t="s">
        <v>148</v>
      </c>
      <c r="B78" s="3">
        <v>46026.333333333336</v>
      </c>
      <c r="C78" t="s">
        <v>52</v>
      </c>
      <c r="D78">
        <v>6</v>
      </c>
      <c r="E78">
        <v>60</v>
      </c>
      <c r="F78">
        <v>3.7</v>
      </c>
      <c r="G78">
        <v>15.5</v>
      </c>
      <c r="H78" t="s">
        <v>70</v>
      </c>
    </row>
    <row r="79" spans="1:8">
      <c r="A79" t="s">
        <v>149</v>
      </c>
      <c r="B79" s="3">
        <v>46026.333333333336</v>
      </c>
      <c r="C79" t="s">
        <v>55</v>
      </c>
      <c r="D79">
        <v>7</v>
      </c>
      <c r="E79">
        <v>63</v>
      </c>
      <c r="F79">
        <v>3.9</v>
      </c>
      <c r="G79">
        <v>8.3000000000000007</v>
      </c>
      <c r="H79" t="s">
        <v>70</v>
      </c>
    </row>
    <row r="80" spans="1:8">
      <c r="A80" t="s">
        <v>150</v>
      </c>
      <c r="B80" s="3">
        <v>46026.333333333336</v>
      </c>
      <c r="C80" t="s">
        <v>57</v>
      </c>
      <c r="D80">
        <v>7</v>
      </c>
      <c r="E80">
        <v>47</v>
      </c>
      <c r="F80">
        <v>5.4</v>
      </c>
      <c r="G80">
        <v>12.2</v>
      </c>
      <c r="H80" t="s">
        <v>70</v>
      </c>
    </row>
    <row r="81" spans="1:8">
      <c r="A81" t="s">
        <v>151</v>
      </c>
      <c r="B81" s="3">
        <v>46026.333333333336</v>
      </c>
      <c r="C81" t="s">
        <v>60</v>
      </c>
      <c r="D81">
        <v>8</v>
      </c>
      <c r="E81">
        <v>52</v>
      </c>
      <c r="F81">
        <v>4.4000000000000004</v>
      </c>
      <c r="G81">
        <v>10.8</v>
      </c>
      <c r="H81" t="s">
        <v>70</v>
      </c>
    </row>
    <row r="82" spans="1:8">
      <c r="A82" t="s">
        <v>152</v>
      </c>
      <c r="B82" s="3">
        <v>46027.333333333336</v>
      </c>
      <c r="C82" t="s">
        <v>8</v>
      </c>
      <c r="D82">
        <v>6</v>
      </c>
      <c r="E82">
        <v>67</v>
      </c>
      <c r="F82">
        <v>3.8</v>
      </c>
      <c r="G82">
        <v>9.6</v>
      </c>
      <c r="H82" t="s">
        <v>70</v>
      </c>
    </row>
    <row r="83" spans="1:8">
      <c r="A83" t="s">
        <v>153</v>
      </c>
      <c r="B83" s="3">
        <v>46027.333333333336</v>
      </c>
      <c r="C83" t="s">
        <v>13</v>
      </c>
      <c r="D83">
        <v>10</v>
      </c>
      <c r="E83">
        <v>65</v>
      </c>
      <c r="F83">
        <v>5.6</v>
      </c>
      <c r="G83">
        <v>15.1</v>
      </c>
      <c r="H83" t="s">
        <v>70</v>
      </c>
    </row>
    <row r="84" spans="1:8">
      <c r="A84" t="s">
        <v>154</v>
      </c>
      <c r="B84" s="3">
        <v>46027.333333333336</v>
      </c>
      <c r="C84" t="s">
        <v>15</v>
      </c>
      <c r="D84">
        <v>10</v>
      </c>
      <c r="E84">
        <v>77</v>
      </c>
      <c r="F84">
        <v>4.5</v>
      </c>
      <c r="G84">
        <v>15.9</v>
      </c>
      <c r="H84" t="s">
        <v>70</v>
      </c>
    </row>
    <row r="85" spans="1:8">
      <c r="A85" t="s">
        <v>155</v>
      </c>
      <c r="B85" s="3">
        <v>46027.333333333336</v>
      </c>
      <c r="C85" t="s">
        <v>18</v>
      </c>
      <c r="D85">
        <v>10</v>
      </c>
      <c r="E85">
        <v>72</v>
      </c>
      <c r="F85">
        <v>5.7</v>
      </c>
      <c r="G85">
        <v>11</v>
      </c>
      <c r="H85" t="s">
        <v>70</v>
      </c>
    </row>
    <row r="86" spans="1:8">
      <c r="A86" t="s">
        <v>156</v>
      </c>
      <c r="B86" s="3">
        <v>46027.333333333336</v>
      </c>
      <c r="C86" t="s">
        <v>20</v>
      </c>
      <c r="D86">
        <v>9</v>
      </c>
      <c r="E86">
        <v>63</v>
      </c>
      <c r="F86">
        <v>4.5</v>
      </c>
      <c r="G86">
        <v>10.7</v>
      </c>
      <c r="H86" t="s">
        <v>70</v>
      </c>
    </row>
    <row r="87" spans="1:8">
      <c r="A87" t="s">
        <v>157</v>
      </c>
      <c r="B87" s="3">
        <v>46027.333333333336</v>
      </c>
      <c r="C87" t="s">
        <v>24</v>
      </c>
      <c r="D87">
        <v>8</v>
      </c>
      <c r="E87">
        <v>65</v>
      </c>
      <c r="F87">
        <v>6.3</v>
      </c>
      <c r="G87">
        <v>14.9</v>
      </c>
      <c r="H87" t="s">
        <v>70</v>
      </c>
    </row>
    <row r="88" spans="1:8">
      <c r="A88" t="s">
        <v>158</v>
      </c>
      <c r="B88" s="3">
        <v>46027.333333333336</v>
      </c>
      <c r="C88" t="s">
        <v>26</v>
      </c>
      <c r="D88">
        <v>7</v>
      </c>
      <c r="E88">
        <v>70</v>
      </c>
      <c r="F88">
        <v>3.7</v>
      </c>
      <c r="G88">
        <v>9</v>
      </c>
      <c r="H88" t="s">
        <v>70</v>
      </c>
    </row>
    <row r="89" spans="1:8">
      <c r="A89" t="s">
        <v>159</v>
      </c>
      <c r="B89" s="3">
        <v>46027.333333333336</v>
      </c>
      <c r="C89" t="s">
        <v>28</v>
      </c>
      <c r="D89">
        <v>9</v>
      </c>
      <c r="E89">
        <v>89</v>
      </c>
      <c r="F89">
        <v>7.2</v>
      </c>
      <c r="G89">
        <v>19.8</v>
      </c>
      <c r="H89" t="s">
        <v>70</v>
      </c>
    </row>
    <row r="90" spans="1:8">
      <c r="A90" t="s">
        <v>160</v>
      </c>
      <c r="B90" s="3">
        <v>46027.333333333336</v>
      </c>
      <c r="C90" t="s">
        <v>31</v>
      </c>
      <c r="D90">
        <v>9</v>
      </c>
      <c r="E90">
        <v>83</v>
      </c>
      <c r="F90">
        <v>6.1</v>
      </c>
      <c r="G90">
        <v>12</v>
      </c>
      <c r="H90" t="s">
        <v>70</v>
      </c>
    </row>
    <row r="91" spans="1:8">
      <c r="A91" t="s">
        <v>161</v>
      </c>
      <c r="B91" s="3">
        <v>46027.333333333336</v>
      </c>
      <c r="C91" t="s">
        <v>33</v>
      </c>
      <c r="D91">
        <v>10</v>
      </c>
      <c r="E91">
        <v>59</v>
      </c>
      <c r="F91">
        <v>3.2</v>
      </c>
      <c r="G91">
        <v>10</v>
      </c>
      <c r="H91" t="s">
        <v>70</v>
      </c>
    </row>
    <row r="92" spans="1:8">
      <c r="A92" t="s">
        <v>162</v>
      </c>
      <c r="B92" s="3">
        <v>46027.333333333336</v>
      </c>
      <c r="C92" t="s">
        <v>36</v>
      </c>
      <c r="D92">
        <v>8</v>
      </c>
      <c r="E92">
        <v>56</v>
      </c>
      <c r="F92">
        <v>5.2</v>
      </c>
      <c r="G92">
        <v>9.8000000000000007</v>
      </c>
      <c r="H92" t="s">
        <v>70</v>
      </c>
    </row>
    <row r="93" spans="1:8">
      <c r="A93" t="s">
        <v>163</v>
      </c>
      <c r="B93" s="3">
        <v>46027.333333333336</v>
      </c>
      <c r="C93" t="s">
        <v>38</v>
      </c>
      <c r="D93">
        <v>7</v>
      </c>
      <c r="E93">
        <v>61</v>
      </c>
      <c r="F93">
        <v>4.5</v>
      </c>
      <c r="G93">
        <v>13.7</v>
      </c>
      <c r="H93" t="s">
        <v>70</v>
      </c>
    </row>
    <row r="94" spans="1:8">
      <c r="A94" t="s">
        <v>164</v>
      </c>
      <c r="B94" s="3">
        <v>46027.333333333336</v>
      </c>
      <c r="C94" t="s">
        <v>42</v>
      </c>
      <c r="D94">
        <v>8</v>
      </c>
      <c r="E94">
        <v>86</v>
      </c>
      <c r="F94">
        <v>8.1</v>
      </c>
      <c r="G94">
        <v>15.3</v>
      </c>
      <c r="H94" t="s">
        <v>78</v>
      </c>
    </row>
    <row r="95" spans="1:8">
      <c r="A95" t="s">
        <v>165</v>
      </c>
      <c r="B95" s="3">
        <v>46027.333333333336</v>
      </c>
      <c r="C95" t="s">
        <v>45</v>
      </c>
      <c r="D95">
        <v>8</v>
      </c>
      <c r="E95">
        <v>73</v>
      </c>
      <c r="F95">
        <v>5.0999999999999996</v>
      </c>
      <c r="G95">
        <v>14.4</v>
      </c>
      <c r="H95" t="s">
        <v>70</v>
      </c>
    </row>
    <row r="96" spans="1:8">
      <c r="A96" t="s">
        <v>166</v>
      </c>
      <c r="B96" s="3">
        <v>46027.333333333336</v>
      </c>
      <c r="C96" t="s">
        <v>47</v>
      </c>
      <c r="D96">
        <v>10</v>
      </c>
      <c r="E96">
        <v>91</v>
      </c>
      <c r="F96">
        <v>8.3000000000000007</v>
      </c>
      <c r="G96">
        <v>17.3</v>
      </c>
      <c r="H96" t="s">
        <v>78</v>
      </c>
    </row>
    <row r="97" spans="1:8">
      <c r="A97" t="s">
        <v>167</v>
      </c>
      <c r="B97" s="3">
        <v>46027.333333333336</v>
      </c>
      <c r="C97" t="s">
        <v>50</v>
      </c>
      <c r="D97">
        <v>7</v>
      </c>
      <c r="E97">
        <v>80</v>
      </c>
      <c r="F97">
        <v>5.5</v>
      </c>
      <c r="G97">
        <v>8.9</v>
      </c>
      <c r="H97" t="s">
        <v>70</v>
      </c>
    </row>
    <row r="98" spans="1:8">
      <c r="A98" t="s">
        <v>168</v>
      </c>
      <c r="B98" s="3">
        <v>46027.333333333336</v>
      </c>
      <c r="C98" t="s">
        <v>52</v>
      </c>
      <c r="D98">
        <v>8</v>
      </c>
      <c r="E98">
        <v>68</v>
      </c>
      <c r="F98">
        <v>5.4</v>
      </c>
      <c r="G98">
        <v>13.6</v>
      </c>
      <c r="H98" t="s">
        <v>70</v>
      </c>
    </row>
    <row r="99" spans="1:8">
      <c r="A99" t="s">
        <v>169</v>
      </c>
      <c r="B99" s="3">
        <v>46027.333333333336</v>
      </c>
      <c r="C99" t="s">
        <v>55</v>
      </c>
      <c r="D99">
        <v>6</v>
      </c>
      <c r="E99">
        <v>68</v>
      </c>
      <c r="F99">
        <v>3.7</v>
      </c>
      <c r="G99">
        <v>15</v>
      </c>
      <c r="H99" t="s">
        <v>70</v>
      </c>
    </row>
    <row r="100" spans="1:8">
      <c r="A100" t="s">
        <v>170</v>
      </c>
      <c r="B100" s="3">
        <v>46027.333333333336</v>
      </c>
      <c r="C100" t="s">
        <v>57</v>
      </c>
      <c r="D100">
        <v>7</v>
      </c>
      <c r="E100">
        <v>52</v>
      </c>
      <c r="F100">
        <v>4.9000000000000004</v>
      </c>
      <c r="G100">
        <v>12.7</v>
      </c>
      <c r="H100" t="s">
        <v>70</v>
      </c>
    </row>
    <row r="101" spans="1:8">
      <c r="A101" t="s">
        <v>171</v>
      </c>
      <c r="B101" s="3">
        <v>46027.333333333336</v>
      </c>
      <c r="C101" t="s">
        <v>60</v>
      </c>
      <c r="D101">
        <v>6</v>
      </c>
      <c r="E101">
        <v>55</v>
      </c>
      <c r="F101">
        <v>4.0999999999999996</v>
      </c>
      <c r="G101">
        <v>15.4</v>
      </c>
      <c r="H101" t="s">
        <v>70</v>
      </c>
    </row>
    <row r="102" spans="1:8">
      <c r="A102" t="s">
        <v>172</v>
      </c>
      <c r="B102" s="3">
        <v>46028.333333333336</v>
      </c>
      <c r="C102" t="s">
        <v>8</v>
      </c>
      <c r="D102">
        <v>7</v>
      </c>
      <c r="E102">
        <v>74</v>
      </c>
      <c r="F102">
        <v>5.3</v>
      </c>
      <c r="G102">
        <v>14.9</v>
      </c>
      <c r="H102" t="s">
        <v>70</v>
      </c>
    </row>
    <row r="103" spans="1:8">
      <c r="A103" t="s">
        <v>173</v>
      </c>
      <c r="B103" s="3">
        <v>46028.333333333336</v>
      </c>
      <c r="C103" t="s">
        <v>13</v>
      </c>
      <c r="D103">
        <v>8</v>
      </c>
      <c r="E103">
        <v>72</v>
      </c>
      <c r="F103">
        <v>5.5</v>
      </c>
      <c r="G103">
        <v>12.5</v>
      </c>
      <c r="H103" t="s">
        <v>70</v>
      </c>
    </row>
    <row r="104" spans="1:8">
      <c r="A104" t="s">
        <v>174</v>
      </c>
      <c r="B104" s="3">
        <v>46028.333333333336</v>
      </c>
      <c r="C104" t="s">
        <v>15</v>
      </c>
      <c r="D104">
        <v>9</v>
      </c>
      <c r="E104">
        <v>71</v>
      </c>
      <c r="F104">
        <v>6.1</v>
      </c>
      <c r="G104">
        <v>12.4</v>
      </c>
      <c r="H104" t="s">
        <v>70</v>
      </c>
    </row>
    <row r="105" spans="1:8">
      <c r="A105" t="s">
        <v>175</v>
      </c>
      <c r="B105" s="3">
        <v>46028.333333333336</v>
      </c>
      <c r="C105" t="s">
        <v>18</v>
      </c>
      <c r="D105">
        <v>8</v>
      </c>
      <c r="E105">
        <v>78</v>
      </c>
      <c r="F105">
        <v>5.8</v>
      </c>
      <c r="G105">
        <v>12.5</v>
      </c>
      <c r="H105" t="s">
        <v>70</v>
      </c>
    </row>
    <row r="106" spans="1:8">
      <c r="A106" t="s">
        <v>176</v>
      </c>
      <c r="B106" s="3">
        <v>46028.333333333336</v>
      </c>
      <c r="C106" t="s">
        <v>20</v>
      </c>
      <c r="D106">
        <v>10</v>
      </c>
      <c r="E106">
        <v>60</v>
      </c>
      <c r="F106">
        <v>4.0999999999999996</v>
      </c>
      <c r="G106">
        <v>11.2</v>
      </c>
      <c r="H106" t="s">
        <v>70</v>
      </c>
    </row>
    <row r="107" spans="1:8">
      <c r="A107" t="s">
        <v>177</v>
      </c>
      <c r="B107" s="3">
        <v>46028.333333333336</v>
      </c>
      <c r="C107" t="s">
        <v>24</v>
      </c>
      <c r="D107">
        <v>10</v>
      </c>
      <c r="E107">
        <v>70</v>
      </c>
      <c r="F107">
        <v>4.5999999999999996</v>
      </c>
      <c r="G107">
        <v>11.7</v>
      </c>
      <c r="H107" t="s">
        <v>70</v>
      </c>
    </row>
    <row r="108" spans="1:8">
      <c r="A108" t="s">
        <v>178</v>
      </c>
      <c r="B108" s="3">
        <v>46028.333333333336</v>
      </c>
      <c r="C108" t="s">
        <v>26</v>
      </c>
      <c r="D108">
        <v>7</v>
      </c>
      <c r="E108">
        <v>70</v>
      </c>
      <c r="F108">
        <v>5.6</v>
      </c>
      <c r="G108">
        <v>12.9</v>
      </c>
      <c r="H108" t="s">
        <v>70</v>
      </c>
    </row>
    <row r="109" spans="1:8">
      <c r="A109" t="s">
        <v>179</v>
      </c>
      <c r="B109" s="3">
        <v>46028.333333333336</v>
      </c>
      <c r="C109" t="s">
        <v>28</v>
      </c>
      <c r="D109">
        <v>8</v>
      </c>
      <c r="E109">
        <v>92</v>
      </c>
      <c r="F109">
        <v>8.8000000000000007</v>
      </c>
      <c r="G109">
        <v>18.5</v>
      </c>
      <c r="H109" t="s">
        <v>78</v>
      </c>
    </row>
    <row r="110" spans="1:8">
      <c r="A110" t="s">
        <v>180</v>
      </c>
      <c r="B110" s="3">
        <v>46028.333333333336</v>
      </c>
      <c r="C110" t="s">
        <v>31</v>
      </c>
      <c r="D110">
        <v>10</v>
      </c>
      <c r="E110">
        <v>81</v>
      </c>
      <c r="F110">
        <v>4.9000000000000004</v>
      </c>
      <c r="G110">
        <v>15</v>
      </c>
      <c r="H110" t="s">
        <v>70</v>
      </c>
    </row>
    <row r="111" spans="1:8">
      <c r="A111" t="s">
        <v>181</v>
      </c>
      <c r="B111" s="3">
        <v>46028.333333333336</v>
      </c>
      <c r="C111" t="s">
        <v>33</v>
      </c>
      <c r="D111">
        <v>9</v>
      </c>
      <c r="E111">
        <v>60</v>
      </c>
      <c r="F111">
        <v>4.3</v>
      </c>
      <c r="G111">
        <v>12.4</v>
      </c>
      <c r="H111" t="s">
        <v>70</v>
      </c>
    </row>
    <row r="112" spans="1:8">
      <c r="A112" t="s">
        <v>182</v>
      </c>
      <c r="B112" s="3">
        <v>46028.333333333336</v>
      </c>
      <c r="C112" t="s">
        <v>36</v>
      </c>
      <c r="D112">
        <v>7</v>
      </c>
      <c r="E112">
        <v>62</v>
      </c>
      <c r="F112">
        <v>5.3</v>
      </c>
      <c r="G112">
        <v>13.5</v>
      </c>
      <c r="H112" t="s">
        <v>70</v>
      </c>
    </row>
    <row r="113" spans="1:8">
      <c r="A113" t="s">
        <v>183</v>
      </c>
      <c r="B113" s="3">
        <v>46028.333333333336</v>
      </c>
      <c r="C113" t="s">
        <v>38</v>
      </c>
      <c r="D113">
        <v>6</v>
      </c>
      <c r="E113">
        <v>61</v>
      </c>
      <c r="F113">
        <v>3.5</v>
      </c>
      <c r="G113">
        <v>14.7</v>
      </c>
      <c r="H113" t="s">
        <v>70</v>
      </c>
    </row>
    <row r="114" spans="1:8">
      <c r="A114" t="s">
        <v>184</v>
      </c>
      <c r="B114" s="3">
        <v>46028.333333333336</v>
      </c>
      <c r="C114" t="s">
        <v>42</v>
      </c>
      <c r="D114">
        <v>7</v>
      </c>
      <c r="E114">
        <v>88</v>
      </c>
      <c r="F114">
        <v>7.2</v>
      </c>
      <c r="G114">
        <v>15.1</v>
      </c>
      <c r="H114" t="s">
        <v>78</v>
      </c>
    </row>
    <row r="115" spans="1:8">
      <c r="A115" t="s">
        <v>185</v>
      </c>
      <c r="B115" s="3">
        <v>46028.333333333336</v>
      </c>
      <c r="C115" t="s">
        <v>45</v>
      </c>
      <c r="D115">
        <v>9</v>
      </c>
      <c r="E115">
        <v>71</v>
      </c>
      <c r="F115">
        <v>4.0999999999999996</v>
      </c>
      <c r="G115">
        <v>15.5</v>
      </c>
      <c r="H115" t="s">
        <v>70</v>
      </c>
    </row>
    <row r="116" spans="1:8">
      <c r="A116" t="s">
        <v>186</v>
      </c>
      <c r="B116" s="3">
        <v>46028.333333333336</v>
      </c>
      <c r="C116" t="s">
        <v>47</v>
      </c>
      <c r="D116">
        <v>10</v>
      </c>
      <c r="E116">
        <v>87</v>
      </c>
      <c r="F116">
        <v>8.1</v>
      </c>
      <c r="G116">
        <v>20.3</v>
      </c>
      <c r="H116" t="s">
        <v>78</v>
      </c>
    </row>
    <row r="117" spans="1:8">
      <c r="A117" t="s">
        <v>187</v>
      </c>
      <c r="B117" s="3">
        <v>46028.333333333336</v>
      </c>
      <c r="C117" t="s">
        <v>50</v>
      </c>
      <c r="D117">
        <v>8</v>
      </c>
      <c r="E117">
        <v>78</v>
      </c>
      <c r="F117">
        <v>3.6</v>
      </c>
      <c r="G117">
        <v>14.2</v>
      </c>
      <c r="H117" t="s">
        <v>70</v>
      </c>
    </row>
    <row r="118" spans="1:8">
      <c r="A118" t="s">
        <v>188</v>
      </c>
      <c r="B118" s="3">
        <v>46028.333333333336</v>
      </c>
      <c r="C118" t="s">
        <v>52</v>
      </c>
      <c r="D118">
        <v>9</v>
      </c>
      <c r="E118">
        <v>69</v>
      </c>
      <c r="F118">
        <v>4.0999999999999996</v>
      </c>
      <c r="G118">
        <v>15.1</v>
      </c>
      <c r="H118" t="s">
        <v>70</v>
      </c>
    </row>
    <row r="119" spans="1:8">
      <c r="A119" t="s">
        <v>189</v>
      </c>
      <c r="B119" s="3">
        <v>46028.333333333336</v>
      </c>
      <c r="C119" t="s">
        <v>55</v>
      </c>
      <c r="D119">
        <v>8</v>
      </c>
      <c r="E119">
        <v>67</v>
      </c>
      <c r="F119">
        <v>6.1</v>
      </c>
      <c r="G119">
        <v>11</v>
      </c>
      <c r="H119" t="s">
        <v>70</v>
      </c>
    </row>
    <row r="120" spans="1:8">
      <c r="A120" t="s">
        <v>190</v>
      </c>
      <c r="B120" s="3">
        <v>46028.333333333336</v>
      </c>
      <c r="C120" t="s">
        <v>57</v>
      </c>
      <c r="D120">
        <v>6</v>
      </c>
      <c r="E120">
        <v>48</v>
      </c>
      <c r="F120">
        <v>5.6</v>
      </c>
      <c r="G120">
        <v>10.9</v>
      </c>
      <c r="H120" t="s">
        <v>70</v>
      </c>
    </row>
    <row r="121" spans="1:8">
      <c r="A121" t="s">
        <v>191</v>
      </c>
      <c r="B121" s="3">
        <v>46028.333333333336</v>
      </c>
      <c r="C121" t="s">
        <v>60</v>
      </c>
      <c r="D121">
        <v>7</v>
      </c>
      <c r="E121">
        <v>52</v>
      </c>
      <c r="F121">
        <v>4.4000000000000004</v>
      </c>
      <c r="G121">
        <v>14.1</v>
      </c>
      <c r="H121" t="s">
        <v>70</v>
      </c>
    </row>
    <row r="122" spans="1:8">
      <c r="A122" t="s">
        <v>192</v>
      </c>
      <c r="B122" s="3">
        <v>46029.333333333336</v>
      </c>
      <c r="C122" t="s">
        <v>8</v>
      </c>
      <c r="D122">
        <v>6</v>
      </c>
      <c r="E122">
        <v>75</v>
      </c>
      <c r="F122">
        <v>5.2</v>
      </c>
      <c r="G122">
        <v>9.4</v>
      </c>
      <c r="H122" t="s">
        <v>70</v>
      </c>
    </row>
    <row r="123" spans="1:8">
      <c r="A123" t="s">
        <v>193</v>
      </c>
      <c r="B123" s="3">
        <v>46029.333333333336</v>
      </c>
      <c r="C123" t="s">
        <v>13</v>
      </c>
      <c r="D123">
        <v>6</v>
      </c>
      <c r="E123">
        <v>71</v>
      </c>
      <c r="F123">
        <v>4.3</v>
      </c>
      <c r="G123">
        <v>12.9</v>
      </c>
      <c r="H123" t="s">
        <v>70</v>
      </c>
    </row>
    <row r="124" spans="1:8">
      <c r="A124" t="s">
        <v>194</v>
      </c>
      <c r="B124" s="3">
        <v>46029.333333333336</v>
      </c>
      <c r="C124" t="s">
        <v>15</v>
      </c>
      <c r="D124">
        <v>8</v>
      </c>
      <c r="E124">
        <v>74</v>
      </c>
      <c r="F124">
        <v>5</v>
      </c>
      <c r="G124">
        <v>12.1</v>
      </c>
      <c r="H124" t="s">
        <v>70</v>
      </c>
    </row>
    <row r="125" spans="1:8">
      <c r="A125" t="s">
        <v>195</v>
      </c>
      <c r="B125" s="3">
        <v>46029.333333333336</v>
      </c>
      <c r="C125" t="s">
        <v>18</v>
      </c>
      <c r="D125">
        <v>7</v>
      </c>
      <c r="E125">
        <v>71</v>
      </c>
      <c r="F125">
        <v>4.4000000000000004</v>
      </c>
      <c r="G125">
        <v>14.6</v>
      </c>
      <c r="H125" t="s">
        <v>70</v>
      </c>
    </row>
    <row r="126" spans="1:8">
      <c r="A126" t="s">
        <v>196</v>
      </c>
      <c r="B126" s="3">
        <v>46029.333333333336</v>
      </c>
      <c r="C126" t="s">
        <v>20</v>
      </c>
      <c r="D126">
        <v>8</v>
      </c>
      <c r="E126">
        <v>69</v>
      </c>
      <c r="F126">
        <v>5.9</v>
      </c>
      <c r="G126">
        <v>9.3000000000000007</v>
      </c>
      <c r="H126" t="s">
        <v>70</v>
      </c>
    </row>
    <row r="127" spans="1:8">
      <c r="A127" t="s">
        <v>197</v>
      </c>
      <c r="B127" s="3">
        <v>46029.333333333336</v>
      </c>
      <c r="C127" t="s">
        <v>24</v>
      </c>
      <c r="D127">
        <v>7</v>
      </c>
      <c r="E127">
        <v>68</v>
      </c>
      <c r="F127">
        <v>4.4000000000000004</v>
      </c>
      <c r="G127">
        <v>14.4</v>
      </c>
      <c r="H127" t="s">
        <v>70</v>
      </c>
    </row>
    <row r="128" spans="1:8">
      <c r="A128" t="s">
        <v>198</v>
      </c>
      <c r="B128" s="3">
        <v>46029.333333333336</v>
      </c>
      <c r="C128" t="s">
        <v>26</v>
      </c>
      <c r="D128">
        <v>9</v>
      </c>
      <c r="E128">
        <v>66</v>
      </c>
      <c r="F128">
        <v>5.8</v>
      </c>
      <c r="G128">
        <v>8.1999999999999993</v>
      </c>
      <c r="H128" t="s">
        <v>70</v>
      </c>
    </row>
    <row r="129" spans="1:8">
      <c r="A129" t="s">
        <v>199</v>
      </c>
      <c r="B129" s="3">
        <v>46029.333333333336</v>
      </c>
      <c r="C129" t="s">
        <v>28</v>
      </c>
      <c r="D129">
        <v>8</v>
      </c>
      <c r="E129">
        <v>99</v>
      </c>
      <c r="F129">
        <v>9.5</v>
      </c>
      <c r="G129">
        <v>21.5</v>
      </c>
      <c r="H129" t="s">
        <v>78</v>
      </c>
    </row>
    <row r="130" spans="1:8">
      <c r="A130" t="s">
        <v>200</v>
      </c>
      <c r="B130" s="3">
        <v>46029.333333333336</v>
      </c>
      <c r="C130" t="s">
        <v>31</v>
      </c>
      <c r="D130">
        <v>7</v>
      </c>
      <c r="E130">
        <v>76</v>
      </c>
      <c r="F130">
        <v>4.5</v>
      </c>
      <c r="G130">
        <v>15.1</v>
      </c>
      <c r="H130" t="s">
        <v>70</v>
      </c>
    </row>
    <row r="131" spans="1:8">
      <c r="A131" t="s">
        <v>201</v>
      </c>
      <c r="B131" s="3">
        <v>46029.333333333336</v>
      </c>
      <c r="C131" t="s">
        <v>33</v>
      </c>
      <c r="D131">
        <v>7</v>
      </c>
      <c r="E131">
        <v>58</v>
      </c>
      <c r="F131">
        <v>4.5</v>
      </c>
      <c r="G131">
        <v>9.3000000000000007</v>
      </c>
      <c r="H131" t="s">
        <v>70</v>
      </c>
    </row>
    <row r="132" spans="1:8">
      <c r="A132" t="s">
        <v>202</v>
      </c>
      <c r="B132" s="3">
        <v>46029.333333333336</v>
      </c>
      <c r="C132" t="s">
        <v>36</v>
      </c>
      <c r="D132">
        <v>10</v>
      </c>
      <c r="E132">
        <v>65</v>
      </c>
      <c r="F132">
        <v>5.4</v>
      </c>
      <c r="G132">
        <v>9</v>
      </c>
      <c r="H132" t="s">
        <v>70</v>
      </c>
    </row>
    <row r="133" spans="1:8">
      <c r="A133" t="s">
        <v>203</v>
      </c>
      <c r="B133" s="3">
        <v>46029.333333333336</v>
      </c>
      <c r="C133" t="s">
        <v>38</v>
      </c>
      <c r="D133">
        <v>8</v>
      </c>
      <c r="E133">
        <v>62</v>
      </c>
      <c r="F133">
        <v>3.7</v>
      </c>
      <c r="G133">
        <v>10.6</v>
      </c>
      <c r="H133" t="s">
        <v>70</v>
      </c>
    </row>
    <row r="134" spans="1:8">
      <c r="A134" t="s">
        <v>204</v>
      </c>
      <c r="B134" s="3">
        <v>46029.333333333336</v>
      </c>
      <c r="C134" t="s">
        <v>42</v>
      </c>
      <c r="D134">
        <v>7</v>
      </c>
      <c r="E134">
        <v>83</v>
      </c>
      <c r="F134">
        <v>6.5</v>
      </c>
      <c r="G134">
        <v>20.6</v>
      </c>
      <c r="H134" t="s">
        <v>84</v>
      </c>
    </row>
    <row r="135" spans="1:8">
      <c r="A135" t="s">
        <v>205</v>
      </c>
      <c r="B135" s="3">
        <v>46029.333333333336</v>
      </c>
      <c r="C135" t="s">
        <v>45</v>
      </c>
      <c r="D135">
        <v>8</v>
      </c>
      <c r="E135">
        <v>74</v>
      </c>
      <c r="F135">
        <v>5.8</v>
      </c>
      <c r="G135">
        <v>11.7</v>
      </c>
      <c r="H135" t="s">
        <v>70</v>
      </c>
    </row>
    <row r="136" spans="1:8">
      <c r="A136" t="s">
        <v>206</v>
      </c>
      <c r="B136" s="3">
        <v>46029.333333333336</v>
      </c>
      <c r="C136" t="s">
        <v>47</v>
      </c>
      <c r="D136">
        <v>10</v>
      </c>
      <c r="E136">
        <v>95</v>
      </c>
      <c r="F136">
        <v>7</v>
      </c>
      <c r="G136">
        <v>19.5</v>
      </c>
      <c r="H136" t="s">
        <v>84</v>
      </c>
    </row>
    <row r="137" spans="1:8">
      <c r="A137" t="s">
        <v>207</v>
      </c>
      <c r="B137" s="3">
        <v>46029.333333333336</v>
      </c>
      <c r="C137" t="s">
        <v>50</v>
      </c>
      <c r="D137">
        <v>7</v>
      </c>
      <c r="E137">
        <v>70</v>
      </c>
      <c r="F137">
        <v>6.1</v>
      </c>
      <c r="G137">
        <v>12.2</v>
      </c>
      <c r="H137" t="s">
        <v>70</v>
      </c>
    </row>
    <row r="138" spans="1:8">
      <c r="A138" t="s">
        <v>208</v>
      </c>
      <c r="B138" s="3">
        <v>46029.333333333336</v>
      </c>
      <c r="C138" t="s">
        <v>52</v>
      </c>
      <c r="D138">
        <v>10</v>
      </c>
      <c r="E138">
        <v>60</v>
      </c>
      <c r="F138">
        <v>4.9000000000000004</v>
      </c>
      <c r="G138">
        <v>9.5</v>
      </c>
      <c r="H138" t="s">
        <v>70</v>
      </c>
    </row>
    <row r="139" spans="1:8">
      <c r="A139" t="s">
        <v>209</v>
      </c>
      <c r="B139" s="3">
        <v>46029.333333333336</v>
      </c>
      <c r="C139" t="s">
        <v>55</v>
      </c>
      <c r="D139">
        <v>10</v>
      </c>
      <c r="E139">
        <v>66</v>
      </c>
      <c r="F139">
        <v>3.6</v>
      </c>
      <c r="G139">
        <v>12.5</v>
      </c>
      <c r="H139" t="s">
        <v>70</v>
      </c>
    </row>
    <row r="140" spans="1:8">
      <c r="A140" t="s">
        <v>210</v>
      </c>
      <c r="B140" s="3">
        <v>46029.333333333336</v>
      </c>
      <c r="C140" t="s">
        <v>57</v>
      </c>
      <c r="D140">
        <v>7</v>
      </c>
      <c r="E140">
        <v>50</v>
      </c>
      <c r="F140">
        <v>4.5999999999999996</v>
      </c>
      <c r="G140">
        <v>11</v>
      </c>
      <c r="H140" t="s">
        <v>70</v>
      </c>
    </row>
    <row r="141" spans="1:8">
      <c r="A141" t="s">
        <v>211</v>
      </c>
      <c r="B141" s="3">
        <v>46029.333333333336</v>
      </c>
      <c r="C141" t="s">
        <v>60</v>
      </c>
      <c r="D141">
        <v>7</v>
      </c>
      <c r="E141">
        <v>55</v>
      </c>
      <c r="F141">
        <v>5.2</v>
      </c>
      <c r="G141">
        <v>9.4</v>
      </c>
      <c r="H141" t="s">
        <v>70</v>
      </c>
    </row>
    <row r="142" spans="1:8">
      <c r="A142" t="s">
        <v>212</v>
      </c>
      <c r="B142" s="3">
        <v>46030.333333333336</v>
      </c>
      <c r="C142" t="s">
        <v>8</v>
      </c>
      <c r="D142">
        <v>10</v>
      </c>
      <c r="E142">
        <v>74</v>
      </c>
      <c r="F142">
        <v>5.6</v>
      </c>
      <c r="G142">
        <v>13.2</v>
      </c>
      <c r="H142" t="s">
        <v>70</v>
      </c>
    </row>
    <row r="143" spans="1:8">
      <c r="A143" t="s">
        <v>213</v>
      </c>
      <c r="B143" s="3">
        <v>46030.333333333336</v>
      </c>
      <c r="C143" t="s">
        <v>13</v>
      </c>
      <c r="D143">
        <v>9</v>
      </c>
      <c r="E143">
        <v>72</v>
      </c>
      <c r="F143">
        <v>5.2</v>
      </c>
      <c r="G143">
        <v>8.4</v>
      </c>
      <c r="H143" t="s">
        <v>70</v>
      </c>
    </row>
    <row r="144" spans="1:8">
      <c r="A144" t="s">
        <v>214</v>
      </c>
      <c r="B144" s="3">
        <v>46030.333333333336</v>
      </c>
      <c r="C144" t="s">
        <v>15</v>
      </c>
      <c r="D144">
        <v>8</v>
      </c>
      <c r="E144">
        <v>74</v>
      </c>
      <c r="F144">
        <v>4.2</v>
      </c>
      <c r="G144">
        <v>13.5</v>
      </c>
      <c r="H144" t="s">
        <v>70</v>
      </c>
    </row>
    <row r="145" spans="1:8">
      <c r="A145" t="s">
        <v>215</v>
      </c>
      <c r="B145" s="3">
        <v>46030.333333333336</v>
      </c>
      <c r="C145" t="s">
        <v>18</v>
      </c>
      <c r="D145">
        <v>9</v>
      </c>
      <c r="E145">
        <v>77</v>
      </c>
      <c r="F145">
        <v>6.1</v>
      </c>
      <c r="G145">
        <v>9.6</v>
      </c>
      <c r="H145" t="s">
        <v>70</v>
      </c>
    </row>
    <row r="146" spans="1:8">
      <c r="A146" t="s">
        <v>216</v>
      </c>
      <c r="B146" s="3">
        <v>46030.333333333336</v>
      </c>
      <c r="C146" t="s">
        <v>20</v>
      </c>
      <c r="D146">
        <v>7</v>
      </c>
      <c r="E146">
        <v>66</v>
      </c>
      <c r="F146">
        <v>5.8</v>
      </c>
      <c r="G146">
        <v>12.6</v>
      </c>
      <c r="H146" t="s">
        <v>70</v>
      </c>
    </row>
    <row r="147" spans="1:8">
      <c r="A147" t="s">
        <v>217</v>
      </c>
      <c r="B147" s="3">
        <v>46030.333333333336</v>
      </c>
      <c r="C147" t="s">
        <v>24</v>
      </c>
      <c r="D147">
        <v>8</v>
      </c>
      <c r="E147">
        <v>61</v>
      </c>
      <c r="F147">
        <v>5.9</v>
      </c>
      <c r="G147">
        <v>15.7</v>
      </c>
      <c r="H147" t="s">
        <v>70</v>
      </c>
    </row>
    <row r="148" spans="1:8">
      <c r="A148" t="s">
        <v>218</v>
      </c>
      <c r="B148" s="3">
        <v>46030.333333333336</v>
      </c>
      <c r="C148" t="s">
        <v>26</v>
      </c>
      <c r="D148">
        <v>10</v>
      </c>
      <c r="E148">
        <v>65</v>
      </c>
      <c r="F148">
        <v>4.4000000000000004</v>
      </c>
      <c r="G148">
        <v>11.2</v>
      </c>
      <c r="H148" t="s">
        <v>70</v>
      </c>
    </row>
    <row r="149" spans="1:8">
      <c r="A149" t="s">
        <v>219</v>
      </c>
      <c r="B149" s="3">
        <v>46030.333333333336</v>
      </c>
      <c r="C149" t="s">
        <v>28</v>
      </c>
      <c r="D149">
        <v>6</v>
      </c>
      <c r="E149">
        <v>100</v>
      </c>
      <c r="F149">
        <v>8.9</v>
      </c>
      <c r="G149">
        <v>16.7</v>
      </c>
      <c r="H149" t="s">
        <v>78</v>
      </c>
    </row>
    <row r="150" spans="1:8">
      <c r="A150" t="s">
        <v>220</v>
      </c>
      <c r="B150" s="3">
        <v>46030.333333333336</v>
      </c>
      <c r="C150" t="s">
        <v>31</v>
      </c>
      <c r="D150">
        <v>9</v>
      </c>
      <c r="E150">
        <v>81</v>
      </c>
      <c r="F150">
        <v>6.8</v>
      </c>
      <c r="G150">
        <v>15.8</v>
      </c>
      <c r="H150" t="s">
        <v>70</v>
      </c>
    </row>
    <row r="151" spans="1:8">
      <c r="A151" t="s">
        <v>221</v>
      </c>
      <c r="B151" s="3">
        <v>46030.333333333336</v>
      </c>
      <c r="C151" t="s">
        <v>33</v>
      </c>
      <c r="D151">
        <v>7</v>
      </c>
      <c r="E151">
        <v>59</v>
      </c>
      <c r="F151">
        <v>5.3</v>
      </c>
      <c r="G151">
        <v>15.6</v>
      </c>
      <c r="H151" t="s">
        <v>70</v>
      </c>
    </row>
    <row r="152" spans="1:8">
      <c r="A152" t="s">
        <v>222</v>
      </c>
      <c r="B152" s="3">
        <v>46030.333333333336</v>
      </c>
      <c r="C152" t="s">
        <v>36</v>
      </c>
      <c r="D152">
        <v>8</v>
      </c>
      <c r="E152">
        <v>56</v>
      </c>
      <c r="F152">
        <v>3.2</v>
      </c>
      <c r="G152">
        <v>14.7</v>
      </c>
      <c r="H152" t="s">
        <v>70</v>
      </c>
    </row>
    <row r="153" spans="1:8">
      <c r="A153" t="s">
        <v>223</v>
      </c>
      <c r="B153" s="3">
        <v>46030.333333333336</v>
      </c>
      <c r="C153" t="s">
        <v>38</v>
      </c>
      <c r="D153">
        <v>9</v>
      </c>
      <c r="E153">
        <v>57</v>
      </c>
      <c r="F153">
        <v>5.4</v>
      </c>
      <c r="G153">
        <v>9.4</v>
      </c>
      <c r="H153" t="s">
        <v>70</v>
      </c>
    </row>
    <row r="154" spans="1:8">
      <c r="A154" t="s">
        <v>224</v>
      </c>
      <c r="B154" s="3">
        <v>46030.333333333336</v>
      </c>
      <c r="C154" t="s">
        <v>42</v>
      </c>
      <c r="D154">
        <v>7</v>
      </c>
      <c r="E154">
        <v>87</v>
      </c>
      <c r="F154">
        <v>8</v>
      </c>
      <c r="G154">
        <v>15</v>
      </c>
      <c r="H154" t="s">
        <v>78</v>
      </c>
    </row>
    <row r="155" spans="1:8">
      <c r="A155" t="s">
        <v>225</v>
      </c>
      <c r="B155" s="3">
        <v>46030.333333333336</v>
      </c>
      <c r="C155" t="s">
        <v>45</v>
      </c>
      <c r="D155">
        <v>9</v>
      </c>
      <c r="E155">
        <v>72</v>
      </c>
      <c r="F155">
        <v>5.2</v>
      </c>
      <c r="G155">
        <v>13</v>
      </c>
      <c r="H155" t="s">
        <v>70</v>
      </c>
    </row>
    <row r="156" spans="1:8">
      <c r="A156" t="s">
        <v>226</v>
      </c>
      <c r="B156" s="3">
        <v>46030.333333333336</v>
      </c>
      <c r="C156" t="s">
        <v>47</v>
      </c>
      <c r="D156">
        <v>8</v>
      </c>
      <c r="E156">
        <v>94</v>
      </c>
      <c r="F156">
        <v>8.1999999999999993</v>
      </c>
      <c r="G156">
        <v>19.399999999999999</v>
      </c>
      <c r="H156" t="s">
        <v>78</v>
      </c>
    </row>
    <row r="157" spans="1:8">
      <c r="A157" t="s">
        <v>227</v>
      </c>
      <c r="B157" s="3">
        <v>46030.333333333336</v>
      </c>
      <c r="C157" t="s">
        <v>50</v>
      </c>
      <c r="D157">
        <v>7</v>
      </c>
      <c r="E157">
        <v>73</v>
      </c>
      <c r="F157">
        <v>3.8</v>
      </c>
      <c r="G157">
        <v>14.5</v>
      </c>
      <c r="H157" t="s">
        <v>70</v>
      </c>
    </row>
    <row r="158" spans="1:8">
      <c r="A158" t="s">
        <v>228</v>
      </c>
      <c r="B158" s="3">
        <v>46030.333333333336</v>
      </c>
      <c r="C158" t="s">
        <v>52</v>
      </c>
      <c r="D158">
        <v>9</v>
      </c>
      <c r="E158">
        <v>67</v>
      </c>
      <c r="F158">
        <v>5.9</v>
      </c>
      <c r="G158">
        <v>10.4</v>
      </c>
      <c r="H158" t="s">
        <v>70</v>
      </c>
    </row>
    <row r="159" spans="1:8">
      <c r="A159" t="s">
        <v>229</v>
      </c>
      <c r="B159" s="3">
        <v>46030.333333333336</v>
      </c>
      <c r="C159" t="s">
        <v>55</v>
      </c>
      <c r="D159">
        <v>9</v>
      </c>
      <c r="E159">
        <v>63</v>
      </c>
      <c r="F159">
        <v>4.2</v>
      </c>
      <c r="G159">
        <v>12.3</v>
      </c>
      <c r="H159" t="s">
        <v>70</v>
      </c>
    </row>
    <row r="160" spans="1:8">
      <c r="A160" t="s">
        <v>230</v>
      </c>
      <c r="B160" s="3">
        <v>46030.333333333336</v>
      </c>
      <c r="C160" t="s">
        <v>57</v>
      </c>
      <c r="D160">
        <v>7</v>
      </c>
      <c r="E160">
        <v>49</v>
      </c>
      <c r="F160">
        <v>3.9</v>
      </c>
      <c r="G160">
        <v>15.5</v>
      </c>
      <c r="H160" t="s">
        <v>70</v>
      </c>
    </row>
    <row r="161" spans="1:8">
      <c r="A161" t="s">
        <v>231</v>
      </c>
      <c r="B161" s="3">
        <v>46030.333333333336</v>
      </c>
      <c r="C161" t="s">
        <v>60</v>
      </c>
      <c r="D161">
        <v>10</v>
      </c>
      <c r="E161">
        <v>50</v>
      </c>
      <c r="F161">
        <v>5.4</v>
      </c>
      <c r="G161">
        <v>11.3</v>
      </c>
      <c r="H161" t="s">
        <v>70</v>
      </c>
    </row>
    <row r="162" spans="1:8">
      <c r="A162" t="s">
        <v>232</v>
      </c>
      <c r="B162" s="3">
        <v>46031.333333333336</v>
      </c>
      <c r="C162" t="s">
        <v>8</v>
      </c>
      <c r="D162">
        <v>7</v>
      </c>
      <c r="E162">
        <v>73</v>
      </c>
      <c r="F162">
        <v>3.4</v>
      </c>
      <c r="G162">
        <v>11.2</v>
      </c>
      <c r="H162" t="s">
        <v>70</v>
      </c>
    </row>
    <row r="163" spans="1:8">
      <c r="A163" t="s">
        <v>233</v>
      </c>
      <c r="B163" s="3">
        <v>46031.333333333336</v>
      </c>
      <c r="C163" t="s">
        <v>13</v>
      </c>
      <c r="D163">
        <v>10</v>
      </c>
      <c r="E163">
        <v>73</v>
      </c>
      <c r="F163">
        <v>5.8</v>
      </c>
      <c r="G163">
        <v>13.7</v>
      </c>
      <c r="H163" t="s">
        <v>70</v>
      </c>
    </row>
    <row r="164" spans="1:8">
      <c r="A164" t="s">
        <v>234</v>
      </c>
      <c r="B164" s="3">
        <v>46031.333333333336</v>
      </c>
      <c r="C164" t="s">
        <v>15</v>
      </c>
      <c r="D164">
        <v>10</v>
      </c>
      <c r="E164">
        <v>72</v>
      </c>
      <c r="F164">
        <v>4.0999999999999996</v>
      </c>
      <c r="G164">
        <v>12.6</v>
      </c>
      <c r="H164" t="s">
        <v>70</v>
      </c>
    </row>
    <row r="165" spans="1:8">
      <c r="A165" t="s">
        <v>235</v>
      </c>
      <c r="B165" s="3">
        <v>46031.333333333336</v>
      </c>
      <c r="C165" t="s">
        <v>18</v>
      </c>
      <c r="D165">
        <v>8</v>
      </c>
      <c r="E165">
        <v>80</v>
      </c>
      <c r="F165">
        <v>5.3</v>
      </c>
      <c r="G165">
        <v>10.7</v>
      </c>
      <c r="H165" t="s">
        <v>70</v>
      </c>
    </row>
    <row r="166" spans="1:8">
      <c r="A166" t="s">
        <v>236</v>
      </c>
      <c r="B166" s="3">
        <v>46031.333333333336</v>
      </c>
      <c r="C166" t="s">
        <v>20</v>
      </c>
      <c r="D166">
        <v>8</v>
      </c>
      <c r="E166">
        <v>65</v>
      </c>
      <c r="F166">
        <v>6</v>
      </c>
      <c r="G166">
        <v>15</v>
      </c>
      <c r="H166" t="s">
        <v>70</v>
      </c>
    </row>
    <row r="167" spans="1:8">
      <c r="A167" t="s">
        <v>237</v>
      </c>
      <c r="B167" s="3">
        <v>46031.333333333336</v>
      </c>
      <c r="C167" t="s">
        <v>24</v>
      </c>
      <c r="D167">
        <v>6</v>
      </c>
      <c r="E167">
        <v>65</v>
      </c>
      <c r="F167">
        <v>5.9</v>
      </c>
      <c r="G167">
        <v>14.1</v>
      </c>
      <c r="H167" t="s">
        <v>70</v>
      </c>
    </row>
    <row r="168" spans="1:8">
      <c r="A168" t="s">
        <v>238</v>
      </c>
      <c r="B168" s="3">
        <v>46031.333333333336</v>
      </c>
      <c r="C168" t="s">
        <v>26</v>
      </c>
      <c r="D168">
        <v>7</v>
      </c>
      <c r="E168">
        <v>68</v>
      </c>
      <c r="F168">
        <v>6.2</v>
      </c>
      <c r="G168">
        <v>11.3</v>
      </c>
      <c r="H168" t="s">
        <v>70</v>
      </c>
    </row>
    <row r="169" spans="1:8">
      <c r="A169" t="s">
        <v>239</v>
      </c>
      <c r="B169" s="3">
        <v>46031.333333333336</v>
      </c>
      <c r="C169" t="s">
        <v>28</v>
      </c>
      <c r="D169">
        <v>7</v>
      </c>
      <c r="E169">
        <v>95</v>
      </c>
      <c r="F169">
        <v>7.3</v>
      </c>
      <c r="G169">
        <v>19.5</v>
      </c>
      <c r="H169" t="s">
        <v>84</v>
      </c>
    </row>
    <row r="170" spans="1:8">
      <c r="A170" t="s">
        <v>240</v>
      </c>
      <c r="B170" s="3">
        <v>46031.333333333336</v>
      </c>
      <c r="C170" t="s">
        <v>31</v>
      </c>
      <c r="D170">
        <v>10</v>
      </c>
      <c r="E170">
        <v>85</v>
      </c>
      <c r="F170">
        <v>5.0999999999999996</v>
      </c>
      <c r="G170">
        <v>9.9</v>
      </c>
      <c r="H170" t="s">
        <v>70</v>
      </c>
    </row>
    <row r="171" spans="1:8">
      <c r="A171" t="s">
        <v>241</v>
      </c>
      <c r="B171" s="3">
        <v>46031.333333333336</v>
      </c>
      <c r="C171" t="s">
        <v>33</v>
      </c>
      <c r="D171">
        <v>10</v>
      </c>
      <c r="E171">
        <v>58</v>
      </c>
      <c r="F171">
        <v>3.8</v>
      </c>
      <c r="G171">
        <v>15.7</v>
      </c>
      <c r="H171" t="s">
        <v>70</v>
      </c>
    </row>
    <row r="172" spans="1:8">
      <c r="A172" t="s">
        <v>242</v>
      </c>
      <c r="B172" s="3">
        <v>46031.333333333336</v>
      </c>
      <c r="C172" t="s">
        <v>36</v>
      </c>
      <c r="D172">
        <v>6</v>
      </c>
      <c r="E172">
        <v>57</v>
      </c>
      <c r="F172">
        <v>4.5999999999999996</v>
      </c>
      <c r="G172">
        <v>13.1</v>
      </c>
      <c r="H172" t="s">
        <v>70</v>
      </c>
    </row>
    <row r="173" spans="1:8">
      <c r="A173" t="s">
        <v>243</v>
      </c>
      <c r="B173" s="3">
        <v>46031.333333333336</v>
      </c>
      <c r="C173" t="s">
        <v>38</v>
      </c>
      <c r="D173">
        <v>6</v>
      </c>
      <c r="E173">
        <v>61</v>
      </c>
      <c r="F173">
        <v>5.4</v>
      </c>
      <c r="G173">
        <v>15.4</v>
      </c>
      <c r="H173" t="s">
        <v>70</v>
      </c>
    </row>
    <row r="174" spans="1:8">
      <c r="A174" t="s">
        <v>244</v>
      </c>
      <c r="B174" s="3">
        <v>46031.333333333336</v>
      </c>
      <c r="C174" t="s">
        <v>42</v>
      </c>
      <c r="D174">
        <v>7</v>
      </c>
      <c r="E174">
        <v>90</v>
      </c>
      <c r="F174">
        <v>6.6</v>
      </c>
      <c r="G174">
        <v>15.4</v>
      </c>
      <c r="H174" t="s">
        <v>84</v>
      </c>
    </row>
    <row r="175" spans="1:8">
      <c r="A175" t="s">
        <v>245</v>
      </c>
      <c r="B175" s="3">
        <v>46031.333333333336</v>
      </c>
      <c r="C175" t="s">
        <v>45</v>
      </c>
      <c r="D175">
        <v>10</v>
      </c>
      <c r="E175">
        <v>71</v>
      </c>
      <c r="F175">
        <v>3.8</v>
      </c>
      <c r="G175">
        <v>8.8000000000000007</v>
      </c>
      <c r="H175" t="s">
        <v>70</v>
      </c>
    </row>
    <row r="176" spans="1:8">
      <c r="A176" t="s">
        <v>246</v>
      </c>
      <c r="B176" s="3">
        <v>46031.333333333336</v>
      </c>
      <c r="C176" t="s">
        <v>47</v>
      </c>
      <c r="D176">
        <v>8</v>
      </c>
      <c r="E176">
        <v>83</v>
      </c>
      <c r="F176">
        <v>7.9</v>
      </c>
      <c r="G176">
        <v>17</v>
      </c>
      <c r="H176" t="s">
        <v>84</v>
      </c>
    </row>
    <row r="177" spans="1:8">
      <c r="A177" t="s">
        <v>247</v>
      </c>
      <c r="B177" s="3">
        <v>46031.333333333336</v>
      </c>
      <c r="C177" t="s">
        <v>50</v>
      </c>
      <c r="D177">
        <v>8</v>
      </c>
      <c r="E177">
        <v>72</v>
      </c>
      <c r="F177">
        <v>3.9</v>
      </c>
      <c r="G177">
        <v>15.6</v>
      </c>
      <c r="H177" t="s">
        <v>70</v>
      </c>
    </row>
    <row r="178" spans="1:8">
      <c r="A178" t="s">
        <v>248</v>
      </c>
      <c r="B178" s="3">
        <v>46031.333333333336</v>
      </c>
      <c r="C178" t="s">
        <v>52</v>
      </c>
      <c r="D178">
        <v>9</v>
      </c>
      <c r="E178">
        <v>67</v>
      </c>
      <c r="F178">
        <v>3.5</v>
      </c>
      <c r="G178">
        <v>11.7</v>
      </c>
      <c r="H178" t="s">
        <v>70</v>
      </c>
    </row>
    <row r="179" spans="1:8">
      <c r="A179" t="s">
        <v>249</v>
      </c>
      <c r="B179" s="3">
        <v>46031.333333333336</v>
      </c>
      <c r="C179" t="s">
        <v>55</v>
      </c>
      <c r="D179">
        <v>10</v>
      </c>
      <c r="E179">
        <v>66</v>
      </c>
      <c r="F179">
        <v>4.2</v>
      </c>
      <c r="G179">
        <v>12.3</v>
      </c>
      <c r="H179" t="s">
        <v>70</v>
      </c>
    </row>
    <row r="180" spans="1:8">
      <c r="A180" t="s">
        <v>250</v>
      </c>
      <c r="B180" s="3">
        <v>46031.333333333336</v>
      </c>
      <c r="C180" t="s">
        <v>57</v>
      </c>
      <c r="D180">
        <v>10</v>
      </c>
      <c r="E180">
        <v>51</v>
      </c>
      <c r="F180">
        <v>3.7</v>
      </c>
      <c r="G180">
        <v>14.2</v>
      </c>
      <c r="H180" t="s">
        <v>70</v>
      </c>
    </row>
    <row r="181" spans="1:8">
      <c r="A181" t="s">
        <v>251</v>
      </c>
      <c r="B181" s="3">
        <v>46031.333333333336</v>
      </c>
      <c r="C181" t="s">
        <v>60</v>
      </c>
      <c r="D181">
        <v>10</v>
      </c>
      <c r="E181">
        <v>46</v>
      </c>
      <c r="F181">
        <v>3.2</v>
      </c>
      <c r="G181">
        <v>12.7</v>
      </c>
      <c r="H181" t="s">
        <v>70</v>
      </c>
    </row>
    <row r="182" spans="1:8">
      <c r="A182" t="s">
        <v>252</v>
      </c>
      <c r="B182" s="3">
        <v>46032.333333333336</v>
      </c>
      <c r="C182" t="s">
        <v>8</v>
      </c>
      <c r="D182">
        <v>9</v>
      </c>
      <c r="E182">
        <v>74</v>
      </c>
      <c r="F182">
        <v>5.9</v>
      </c>
      <c r="G182">
        <v>15.8</v>
      </c>
      <c r="H182" t="s">
        <v>70</v>
      </c>
    </row>
    <row r="183" spans="1:8">
      <c r="A183" t="s">
        <v>253</v>
      </c>
      <c r="B183" s="3">
        <v>46032.333333333336</v>
      </c>
      <c r="C183" t="s">
        <v>13</v>
      </c>
      <c r="D183">
        <v>7</v>
      </c>
      <c r="E183">
        <v>71</v>
      </c>
      <c r="F183">
        <v>4.3</v>
      </c>
      <c r="G183">
        <v>10.5</v>
      </c>
      <c r="H183" t="s">
        <v>70</v>
      </c>
    </row>
    <row r="184" spans="1:8">
      <c r="A184" t="s">
        <v>254</v>
      </c>
      <c r="B184" s="3">
        <v>46032.333333333336</v>
      </c>
      <c r="C184" t="s">
        <v>15</v>
      </c>
      <c r="D184">
        <v>8</v>
      </c>
      <c r="E184">
        <v>80</v>
      </c>
      <c r="F184">
        <v>4.0999999999999996</v>
      </c>
      <c r="G184">
        <v>13.9</v>
      </c>
      <c r="H184" t="s">
        <v>70</v>
      </c>
    </row>
    <row r="185" spans="1:8">
      <c r="A185" t="s">
        <v>255</v>
      </c>
      <c r="B185" s="3">
        <v>46032.333333333336</v>
      </c>
      <c r="C185" t="s">
        <v>18</v>
      </c>
      <c r="D185">
        <v>8</v>
      </c>
      <c r="E185">
        <v>74</v>
      </c>
      <c r="F185">
        <v>5.8</v>
      </c>
      <c r="G185">
        <v>11.2</v>
      </c>
      <c r="H185" t="s">
        <v>70</v>
      </c>
    </row>
    <row r="186" spans="1:8">
      <c r="A186" t="s">
        <v>256</v>
      </c>
      <c r="B186" s="3">
        <v>46032.333333333336</v>
      </c>
      <c r="C186" t="s">
        <v>20</v>
      </c>
      <c r="D186">
        <v>8</v>
      </c>
      <c r="E186">
        <v>61</v>
      </c>
      <c r="F186">
        <v>6.5</v>
      </c>
      <c r="G186">
        <v>11.3</v>
      </c>
      <c r="H186" t="s">
        <v>70</v>
      </c>
    </row>
    <row r="187" spans="1:8">
      <c r="A187" t="s">
        <v>257</v>
      </c>
      <c r="B187" s="3">
        <v>46032.333333333336</v>
      </c>
      <c r="C187" t="s">
        <v>24</v>
      </c>
      <c r="D187">
        <v>6</v>
      </c>
      <c r="E187">
        <v>65</v>
      </c>
      <c r="F187">
        <v>5.7</v>
      </c>
      <c r="G187">
        <v>14.6</v>
      </c>
      <c r="H187" t="s">
        <v>70</v>
      </c>
    </row>
    <row r="188" spans="1:8">
      <c r="A188" t="s">
        <v>258</v>
      </c>
      <c r="B188" s="3">
        <v>46032.333333333336</v>
      </c>
      <c r="C188" t="s">
        <v>26</v>
      </c>
      <c r="D188">
        <v>10</v>
      </c>
      <c r="E188">
        <v>68</v>
      </c>
      <c r="F188">
        <v>4.0999999999999996</v>
      </c>
      <c r="G188">
        <v>11.8</v>
      </c>
      <c r="H188" t="s">
        <v>70</v>
      </c>
    </row>
    <row r="189" spans="1:8">
      <c r="A189" t="s">
        <v>259</v>
      </c>
      <c r="B189" s="3">
        <v>46032.333333333336</v>
      </c>
      <c r="C189" t="s">
        <v>28</v>
      </c>
      <c r="D189">
        <v>10</v>
      </c>
      <c r="E189">
        <v>96</v>
      </c>
      <c r="F189">
        <v>7.5</v>
      </c>
      <c r="G189">
        <v>21.2</v>
      </c>
      <c r="H189" t="s">
        <v>84</v>
      </c>
    </row>
    <row r="190" spans="1:8">
      <c r="A190" t="s">
        <v>260</v>
      </c>
      <c r="B190" s="3">
        <v>46032.333333333336</v>
      </c>
      <c r="C190" t="s">
        <v>31</v>
      </c>
      <c r="D190">
        <v>6</v>
      </c>
      <c r="E190">
        <v>81</v>
      </c>
      <c r="F190">
        <v>5.7</v>
      </c>
      <c r="G190">
        <v>12.4</v>
      </c>
      <c r="H190" t="s">
        <v>70</v>
      </c>
    </row>
    <row r="191" spans="1:8">
      <c r="A191" t="s">
        <v>261</v>
      </c>
      <c r="B191" s="3">
        <v>46032.333333333336</v>
      </c>
      <c r="C191" t="s">
        <v>33</v>
      </c>
      <c r="D191">
        <v>7</v>
      </c>
      <c r="E191">
        <v>58</v>
      </c>
      <c r="F191">
        <v>3.2</v>
      </c>
      <c r="G191">
        <v>8.6</v>
      </c>
      <c r="H191" t="s">
        <v>70</v>
      </c>
    </row>
    <row r="192" spans="1:8">
      <c r="A192" t="s">
        <v>262</v>
      </c>
      <c r="B192" s="3">
        <v>46032.333333333336</v>
      </c>
      <c r="C192" t="s">
        <v>36</v>
      </c>
      <c r="D192">
        <v>10</v>
      </c>
      <c r="E192">
        <v>58</v>
      </c>
      <c r="F192">
        <v>5</v>
      </c>
      <c r="G192">
        <v>9.8000000000000007</v>
      </c>
      <c r="H192" t="s">
        <v>70</v>
      </c>
    </row>
    <row r="193" spans="1:8">
      <c r="A193" t="s">
        <v>263</v>
      </c>
      <c r="B193" s="3">
        <v>46032.333333333336</v>
      </c>
      <c r="C193" t="s">
        <v>38</v>
      </c>
      <c r="D193">
        <v>10</v>
      </c>
      <c r="E193">
        <v>62</v>
      </c>
      <c r="F193">
        <v>4</v>
      </c>
      <c r="G193">
        <v>10.7</v>
      </c>
      <c r="H193" t="s">
        <v>70</v>
      </c>
    </row>
    <row r="194" spans="1:8">
      <c r="A194" t="s">
        <v>264</v>
      </c>
      <c r="B194" s="3">
        <v>46032.333333333336</v>
      </c>
      <c r="C194" t="s">
        <v>42</v>
      </c>
      <c r="D194">
        <v>10</v>
      </c>
      <c r="E194">
        <v>79</v>
      </c>
      <c r="F194">
        <v>6.9</v>
      </c>
      <c r="G194">
        <v>16.7</v>
      </c>
      <c r="H194" t="s">
        <v>70</v>
      </c>
    </row>
    <row r="195" spans="1:8">
      <c r="A195" t="s">
        <v>265</v>
      </c>
      <c r="B195" s="3">
        <v>46032.333333333336</v>
      </c>
      <c r="C195" t="s">
        <v>45</v>
      </c>
      <c r="D195">
        <v>9</v>
      </c>
      <c r="E195">
        <v>74</v>
      </c>
      <c r="F195">
        <v>3.5</v>
      </c>
      <c r="G195">
        <v>15.3</v>
      </c>
      <c r="H195" t="s">
        <v>70</v>
      </c>
    </row>
    <row r="196" spans="1:8">
      <c r="A196" t="s">
        <v>266</v>
      </c>
      <c r="B196" s="3">
        <v>46032.333333333336</v>
      </c>
      <c r="C196" t="s">
        <v>47</v>
      </c>
      <c r="D196">
        <v>6</v>
      </c>
      <c r="E196">
        <v>87</v>
      </c>
      <c r="F196">
        <v>8.1</v>
      </c>
      <c r="G196">
        <v>18</v>
      </c>
      <c r="H196" t="s">
        <v>78</v>
      </c>
    </row>
    <row r="197" spans="1:8">
      <c r="A197" t="s">
        <v>267</v>
      </c>
      <c r="B197" s="3">
        <v>46032.333333333336</v>
      </c>
      <c r="C197" t="s">
        <v>50</v>
      </c>
      <c r="D197">
        <v>10</v>
      </c>
      <c r="E197">
        <v>76</v>
      </c>
      <c r="F197">
        <v>4.4000000000000004</v>
      </c>
      <c r="G197">
        <v>11</v>
      </c>
      <c r="H197" t="s">
        <v>70</v>
      </c>
    </row>
    <row r="198" spans="1:8">
      <c r="A198" t="s">
        <v>268</v>
      </c>
      <c r="B198" s="3">
        <v>46032.333333333336</v>
      </c>
      <c r="C198" t="s">
        <v>52</v>
      </c>
      <c r="D198">
        <v>7</v>
      </c>
      <c r="E198">
        <v>69</v>
      </c>
      <c r="F198">
        <v>5.9</v>
      </c>
      <c r="G198">
        <v>11.7</v>
      </c>
      <c r="H198" t="s">
        <v>70</v>
      </c>
    </row>
    <row r="199" spans="1:8">
      <c r="A199" t="s">
        <v>269</v>
      </c>
      <c r="B199" s="3">
        <v>46032.333333333336</v>
      </c>
      <c r="C199" t="s">
        <v>55</v>
      </c>
      <c r="D199">
        <v>8</v>
      </c>
      <c r="E199">
        <v>62</v>
      </c>
      <c r="F199">
        <v>5.4</v>
      </c>
      <c r="G199">
        <v>8.6999999999999993</v>
      </c>
      <c r="H199" t="s">
        <v>70</v>
      </c>
    </row>
    <row r="200" spans="1:8">
      <c r="A200" t="s">
        <v>270</v>
      </c>
      <c r="B200" s="3">
        <v>46032.333333333336</v>
      </c>
      <c r="C200" t="s">
        <v>57</v>
      </c>
      <c r="D200">
        <v>9</v>
      </c>
      <c r="E200">
        <v>51</v>
      </c>
      <c r="F200">
        <v>5.8</v>
      </c>
      <c r="G200">
        <v>10.8</v>
      </c>
      <c r="H200" t="s">
        <v>70</v>
      </c>
    </row>
    <row r="201" spans="1:8">
      <c r="A201" t="s">
        <v>271</v>
      </c>
      <c r="B201" s="3">
        <v>46032.333333333336</v>
      </c>
      <c r="C201" t="s">
        <v>60</v>
      </c>
      <c r="D201">
        <v>9</v>
      </c>
      <c r="E201">
        <v>53</v>
      </c>
      <c r="F201">
        <v>5.2</v>
      </c>
      <c r="G201">
        <v>13.8</v>
      </c>
      <c r="H201" t="s">
        <v>70</v>
      </c>
    </row>
    <row r="202" spans="1:8">
      <c r="A202" t="s">
        <v>272</v>
      </c>
      <c r="B202" s="3">
        <v>46033.333333333336</v>
      </c>
      <c r="C202" t="s">
        <v>8</v>
      </c>
      <c r="D202">
        <v>8</v>
      </c>
      <c r="E202">
        <v>74</v>
      </c>
      <c r="F202">
        <v>3.3</v>
      </c>
      <c r="G202">
        <v>14.8</v>
      </c>
      <c r="H202" t="s">
        <v>70</v>
      </c>
    </row>
    <row r="203" spans="1:8">
      <c r="A203" t="s">
        <v>273</v>
      </c>
      <c r="B203" s="3">
        <v>46033.333333333336</v>
      </c>
      <c r="C203" t="s">
        <v>13</v>
      </c>
      <c r="D203">
        <v>6</v>
      </c>
      <c r="E203">
        <v>73</v>
      </c>
      <c r="F203">
        <v>5.2</v>
      </c>
      <c r="G203">
        <v>9</v>
      </c>
      <c r="H203" t="s">
        <v>70</v>
      </c>
    </row>
    <row r="204" spans="1:8">
      <c r="A204" t="s">
        <v>274</v>
      </c>
      <c r="B204" s="3">
        <v>46033.333333333336</v>
      </c>
      <c r="C204" t="s">
        <v>15</v>
      </c>
      <c r="D204">
        <v>8</v>
      </c>
      <c r="E204">
        <v>80</v>
      </c>
      <c r="F204">
        <v>6</v>
      </c>
      <c r="G204">
        <v>11.9</v>
      </c>
      <c r="H204" t="s">
        <v>70</v>
      </c>
    </row>
    <row r="205" spans="1:8">
      <c r="A205" t="s">
        <v>275</v>
      </c>
      <c r="B205" s="3">
        <v>46033.333333333336</v>
      </c>
      <c r="C205" t="s">
        <v>18</v>
      </c>
      <c r="D205">
        <v>10</v>
      </c>
      <c r="E205">
        <v>70</v>
      </c>
      <c r="F205">
        <v>3.7</v>
      </c>
      <c r="G205">
        <v>9.6999999999999993</v>
      </c>
      <c r="H205" t="s">
        <v>70</v>
      </c>
    </row>
    <row r="206" spans="1:8">
      <c r="A206" t="s">
        <v>276</v>
      </c>
      <c r="B206" s="3">
        <v>46033.333333333336</v>
      </c>
      <c r="C206" t="s">
        <v>20</v>
      </c>
      <c r="D206">
        <v>6</v>
      </c>
      <c r="E206">
        <v>66</v>
      </c>
      <c r="F206">
        <v>6.4</v>
      </c>
      <c r="G206">
        <v>12.5</v>
      </c>
      <c r="H206" t="s">
        <v>70</v>
      </c>
    </row>
    <row r="207" spans="1:8">
      <c r="A207" t="s">
        <v>277</v>
      </c>
      <c r="B207" s="3">
        <v>46033.333333333336</v>
      </c>
      <c r="C207" t="s">
        <v>24</v>
      </c>
      <c r="D207">
        <v>8</v>
      </c>
      <c r="E207">
        <v>60</v>
      </c>
      <c r="F207">
        <v>6.5</v>
      </c>
      <c r="G207">
        <v>12.5</v>
      </c>
      <c r="H207" t="s">
        <v>70</v>
      </c>
    </row>
    <row r="208" spans="1:8">
      <c r="A208" t="s">
        <v>278</v>
      </c>
      <c r="B208" s="3">
        <v>46033.333333333336</v>
      </c>
      <c r="C208" t="s">
        <v>26</v>
      </c>
      <c r="D208">
        <v>9</v>
      </c>
      <c r="E208">
        <v>72</v>
      </c>
      <c r="F208">
        <v>4.5</v>
      </c>
      <c r="G208">
        <v>13.6</v>
      </c>
      <c r="H208" t="s">
        <v>70</v>
      </c>
    </row>
    <row r="209" spans="1:8">
      <c r="A209" t="s">
        <v>279</v>
      </c>
      <c r="B209" s="3">
        <v>46033.333333333336</v>
      </c>
      <c r="C209" t="s">
        <v>28</v>
      </c>
      <c r="D209">
        <v>9</v>
      </c>
      <c r="E209">
        <v>95</v>
      </c>
      <c r="F209">
        <v>9.1</v>
      </c>
      <c r="G209">
        <v>21.8</v>
      </c>
      <c r="H209" t="s">
        <v>78</v>
      </c>
    </row>
    <row r="210" spans="1:8">
      <c r="A210" t="s">
        <v>280</v>
      </c>
      <c r="B210" s="3">
        <v>46033.333333333336</v>
      </c>
      <c r="C210" t="s">
        <v>31</v>
      </c>
      <c r="D210">
        <v>10</v>
      </c>
      <c r="E210">
        <v>77</v>
      </c>
      <c r="F210">
        <v>5.2</v>
      </c>
      <c r="G210">
        <v>11.7</v>
      </c>
      <c r="H210" t="s">
        <v>70</v>
      </c>
    </row>
    <row r="211" spans="1:8">
      <c r="A211" t="s">
        <v>281</v>
      </c>
      <c r="B211" s="3">
        <v>46033.333333333336</v>
      </c>
      <c r="C211" t="s">
        <v>33</v>
      </c>
      <c r="D211">
        <v>10</v>
      </c>
      <c r="E211">
        <v>61</v>
      </c>
      <c r="F211">
        <v>5.4</v>
      </c>
      <c r="G211">
        <v>14.4</v>
      </c>
      <c r="H211" t="s">
        <v>70</v>
      </c>
    </row>
    <row r="212" spans="1:8">
      <c r="A212" t="s">
        <v>282</v>
      </c>
      <c r="B212" s="3">
        <v>46033.333333333336</v>
      </c>
      <c r="C212" t="s">
        <v>36</v>
      </c>
      <c r="D212">
        <v>8</v>
      </c>
      <c r="E212">
        <v>59</v>
      </c>
      <c r="F212">
        <v>4.8</v>
      </c>
      <c r="G212">
        <v>8.9</v>
      </c>
      <c r="H212" t="s">
        <v>70</v>
      </c>
    </row>
    <row r="213" spans="1:8">
      <c r="A213" t="s">
        <v>283</v>
      </c>
      <c r="B213" s="3">
        <v>46033.333333333336</v>
      </c>
      <c r="C213" t="s">
        <v>38</v>
      </c>
      <c r="D213">
        <v>8</v>
      </c>
      <c r="E213">
        <v>63</v>
      </c>
      <c r="F213">
        <v>5.6</v>
      </c>
      <c r="G213">
        <v>10.5</v>
      </c>
      <c r="H213" t="s">
        <v>70</v>
      </c>
    </row>
    <row r="214" spans="1:8">
      <c r="A214" t="s">
        <v>284</v>
      </c>
      <c r="B214" s="3">
        <v>46033.333333333336</v>
      </c>
      <c r="C214" t="s">
        <v>42</v>
      </c>
      <c r="D214">
        <v>7</v>
      </c>
      <c r="E214">
        <v>85</v>
      </c>
      <c r="F214">
        <v>7.3</v>
      </c>
      <c r="G214">
        <v>16.5</v>
      </c>
      <c r="H214" t="s">
        <v>78</v>
      </c>
    </row>
    <row r="215" spans="1:8">
      <c r="A215" t="s">
        <v>285</v>
      </c>
      <c r="B215" s="3">
        <v>46033.333333333336</v>
      </c>
      <c r="C215" t="s">
        <v>45</v>
      </c>
      <c r="D215">
        <v>8</v>
      </c>
      <c r="E215">
        <v>65</v>
      </c>
      <c r="F215">
        <v>6</v>
      </c>
      <c r="G215">
        <v>13.9</v>
      </c>
      <c r="H215" t="s">
        <v>70</v>
      </c>
    </row>
    <row r="216" spans="1:8">
      <c r="A216" t="s">
        <v>286</v>
      </c>
      <c r="B216" s="3">
        <v>46033.333333333336</v>
      </c>
      <c r="C216" t="s">
        <v>47</v>
      </c>
      <c r="D216">
        <v>8</v>
      </c>
      <c r="E216">
        <v>89</v>
      </c>
      <c r="F216">
        <v>8.5</v>
      </c>
      <c r="G216">
        <v>19.899999999999999</v>
      </c>
      <c r="H216" t="s">
        <v>78</v>
      </c>
    </row>
    <row r="217" spans="1:8">
      <c r="A217" t="s">
        <v>287</v>
      </c>
      <c r="B217" s="3">
        <v>46033.333333333336</v>
      </c>
      <c r="C217" t="s">
        <v>50</v>
      </c>
      <c r="D217">
        <v>6</v>
      </c>
      <c r="E217">
        <v>76</v>
      </c>
      <c r="F217">
        <v>5.4</v>
      </c>
      <c r="G217">
        <v>12.7</v>
      </c>
      <c r="H217" t="s">
        <v>70</v>
      </c>
    </row>
    <row r="218" spans="1:8">
      <c r="A218" t="s">
        <v>288</v>
      </c>
      <c r="B218" s="3">
        <v>46033.333333333336</v>
      </c>
      <c r="C218" t="s">
        <v>52</v>
      </c>
      <c r="D218">
        <v>6</v>
      </c>
      <c r="E218">
        <v>65</v>
      </c>
      <c r="F218">
        <v>6.1</v>
      </c>
      <c r="G218">
        <v>12.5</v>
      </c>
      <c r="H218" t="s">
        <v>70</v>
      </c>
    </row>
    <row r="219" spans="1:8">
      <c r="A219" t="s">
        <v>289</v>
      </c>
      <c r="B219" s="3">
        <v>46033.333333333336</v>
      </c>
      <c r="C219" t="s">
        <v>55</v>
      </c>
      <c r="D219">
        <v>10</v>
      </c>
      <c r="E219">
        <v>60</v>
      </c>
      <c r="F219">
        <v>4.9000000000000004</v>
      </c>
      <c r="G219">
        <v>8.3000000000000007</v>
      </c>
      <c r="H219" t="s">
        <v>70</v>
      </c>
    </row>
    <row r="220" spans="1:8">
      <c r="A220" t="s">
        <v>290</v>
      </c>
      <c r="B220" s="3">
        <v>46033.333333333336</v>
      </c>
      <c r="C220" t="s">
        <v>57</v>
      </c>
      <c r="D220">
        <v>10</v>
      </c>
      <c r="E220">
        <v>46</v>
      </c>
      <c r="F220">
        <v>3.7</v>
      </c>
      <c r="G220">
        <v>10.5</v>
      </c>
      <c r="H220" t="s">
        <v>70</v>
      </c>
    </row>
    <row r="221" spans="1:8">
      <c r="A221" t="s">
        <v>291</v>
      </c>
      <c r="B221" s="3">
        <v>46033.333333333336</v>
      </c>
      <c r="C221" t="s">
        <v>60</v>
      </c>
      <c r="D221">
        <v>9</v>
      </c>
      <c r="E221">
        <v>50</v>
      </c>
      <c r="F221">
        <v>5.7</v>
      </c>
      <c r="G221">
        <v>14.9</v>
      </c>
      <c r="H221" t="s">
        <v>70</v>
      </c>
    </row>
    <row r="222" spans="1:8">
      <c r="A222" t="s">
        <v>292</v>
      </c>
      <c r="B222" s="3">
        <v>46034.333333333336</v>
      </c>
      <c r="C222" t="s">
        <v>8</v>
      </c>
      <c r="D222">
        <v>7</v>
      </c>
      <c r="E222">
        <v>72</v>
      </c>
      <c r="F222">
        <v>4.4000000000000004</v>
      </c>
      <c r="G222">
        <v>14</v>
      </c>
      <c r="H222" t="s">
        <v>70</v>
      </c>
    </row>
    <row r="223" spans="1:8">
      <c r="A223" t="s">
        <v>293</v>
      </c>
      <c r="B223" s="3">
        <v>46034.333333333336</v>
      </c>
      <c r="C223" t="s">
        <v>13</v>
      </c>
      <c r="D223">
        <v>9</v>
      </c>
      <c r="E223">
        <v>72</v>
      </c>
      <c r="F223">
        <v>5.6</v>
      </c>
      <c r="G223">
        <v>12</v>
      </c>
      <c r="H223" t="s">
        <v>70</v>
      </c>
    </row>
    <row r="224" spans="1:8">
      <c r="A224" t="s">
        <v>294</v>
      </c>
      <c r="B224" s="3">
        <v>46034.333333333336</v>
      </c>
      <c r="C224" t="s">
        <v>15</v>
      </c>
      <c r="D224">
        <v>8</v>
      </c>
      <c r="E224">
        <v>78</v>
      </c>
      <c r="F224">
        <v>6.3</v>
      </c>
      <c r="G224">
        <v>8.5</v>
      </c>
      <c r="H224" t="s">
        <v>70</v>
      </c>
    </row>
    <row r="225" spans="1:8">
      <c r="A225" t="s">
        <v>295</v>
      </c>
      <c r="B225" s="3">
        <v>46034.333333333336</v>
      </c>
      <c r="C225" t="s">
        <v>18</v>
      </c>
      <c r="D225">
        <v>9</v>
      </c>
      <c r="E225">
        <v>78</v>
      </c>
      <c r="F225">
        <v>6.1</v>
      </c>
      <c r="G225">
        <v>9.3000000000000007</v>
      </c>
      <c r="H225" t="s">
        <v>70</v>
      </c>
    </row>
    <row r="226" spans="1:8">
      <c r="A226" t="s">
        <v>296</v>
      </c>
      <c r="B226" s="3">
        <v>46034.333333333336</v>
      </c>
      <c r="C226" t="s">
        <v>20</v>
      </c>
      <c r="D226">
        <v>7</v>
      </c>
      <c r="E226">
        <v>62</v>
      </c>
      <c r="F226">
        <v>5.4</v>
      </c>
      <c r="G226">
        <v>11.2</v>
      </c>
      <c r="H226" t="s">
        <v>70</v>
      </c>
    </row>
    <row r="227" spans="1:8">
      <c r="A227" t="s">
        <v>297</v>
      </c>
      <c r="B227" s="3">
        <v>46034.333333333336</v>
      </c>
      <c r="C227" t="s">
        <v>24</v>
      </c>
      <c r="D227">
        <v>7</v>
      </c>
      <c r="E227">
        <v>69</v>
      </c>
      <c r="F227">
        <v>5</v>
      </c>
      <c r="G227">
        <v>12.2</v>
      </c>
      <c r="H227" t="s">
        <v>70</v>
      </c>
    </row>
    <row r="228" spans="1:8">
      <c r="A228" t="s">
        <v>298</v>
      </c>
      <c r="B228" s="3">
        <v>46034.333333333336</v>
      </c>
      <c r="C228" t="s">
        <v>26</v>
      </c>
      <c r="D228">
        <v>10</v>
      </c>
      <c r="E228">
        <v>64</v>
      </c>
      <c r="F228">
        <v>5.6</v>
      </c>
      <c r="G228">
        <v>13.8</v>
      </c>
      <c r="H228" t="s">
        <v>70</v>
      </c>
    </row>
    <row r="229" spans="1:8">
      <c r="A229" t="s">
        <v>299</v>
      </c>
      <c r="B229" s="3">
        <v>46034.333333333336</v>
      </c>
      <c r="C229" t="s">
        <v>28</v>
      </c>
      <c r="D229">
        <v>6</v>
      </c>
      <c r="E229">
        <v>95</v>
      </c>
      <c r="F229">
        <v>7.7</v>
      </c>
      <c r="G229">
        <v>14.8</v>
      </c>
      <c r="H229" t="s">
        <v>84</v>
      </c>
    </row>
    <row r="230" spans="1:8">
      <c r="A230" t="s">
        <v>300</v>
      </c>
      <c r="B230" s="3">
        <v>46034.333333333336</v>
      </c>
      <c r="C230" t="s">
        <v>31</v>
      </c>
      <c r="D230">
        <v>10</v>
      </c>
      <c r="E230">
        <v>75</v>
      </c>
      <c r="F230">
        <v>5.6</v>
      </c>
      <c r="G230">
        <v>8.3000000000000007</v>
      </c>
      <c r="H230" t="s">
        <v>70</v>
      </c>
    </row>
    <row r="231" spans="1:8">
      <c r="A231" t="s">
        <v>301</v>
      </c>
      <c r="B231" s="3">
        <v>46034.333333333336</v>
      </c>
      <c r="C231" t="s">
        <v>33</v>
      </c>
      <c r="D231">
        <v>7</v>
      </c>
      <c r="E231">
        <v>62</v>
      </c>
      <c r="F231">
        <v>4.4000000000000004</v>
      </c>
      <c r="G231">
        <v>13.4</v>
      </c>
      <c r="H231" t="s">
        <v>70</v>
      </c>
    </row>
    <row r="232" spans="1:8">
      <c r="A232" t="s">
        <v>302</v>
      </c>
      <c r="B232" s="3">
        <v>46034.333333333336</v>
      </c>
      <c r="C232" t="s">
        <v>36</v>
      </c>
      <c r="D232">
        <v>7</v>
      </c>
      <c r="E232">
        <v>63</v>
      </c>
      <c r="F232">
        <v>5.6</v>
      </c>
      <c r="G232">
        <v>10.3</v>
      </c>
      <c r="H232" t="s">
        <v>70</v>
      </c>
    </row>
    <row r="233" spans="1:8">
      <c r="A233" t="s">
        <v>303</v>
      </c>
      <c r="B233" s="3">
        <v>46034.333333333336</v>
      </c>
      <c r="C233" t="s">
        <v>38</v>
      </c>
      <c r="D233">
        <v>7</v>
      </c>
      <c r="E233">
        <v>56</v>
      </c>
      <c r="F233">
        <v>3.5</v>
      </c>
      <c r="G233">
        <v>14.4</v>
      </c>
      <c r="H233" t="s">
        <v>70</v>
      </c>
    </row>
    <row r="234" spans="1:8">
      <c r="A234" t="s">
        <v>304</v>
      </c>
      <c r="B234" s="3">
        <v>46034.333333333336</v>
      </c>
      <c r="C234" t="s">
        <v>42</v>
      </c>
      <c r="D234">
        <v>7</v>
      </c>
      <c r="E234">
        <v>90</v>
      </c>
      <c r="F234">
        <v>8</v>
      </c>
      <c r="G234">
        <v>19.5</v>
      </c>
      <c r="H234" t="s">
        <v>78</v>
      </c>
    </row>
    <row r="235" spans="1:8">
      <c r="A235" t="s">
        <v>305</v>
      </c>
      <c r="B235" s="3">
        <v>46034.333333333336</v>
      </c>
      <c r="C235" t="s">
        <v>45</v>
      </c>
      <c r="D235">
        <v>8</v>
      </c>
      <c r="E235">
        <v>65</v>
      </c>
      <c r="F235">
        <v>5.9</v>
      </c>
      <c r="G235">
        <v>12.6</v>
      </c>
      <c r="H235" t="s">
        <v>70</v>
      </c>
    </row>
    <row r="236" spans="1:8">
      <c r="A236" t="s">
        <v>306</v>
      </c>
      <c r="B236" s="3">
        <v>46034.333333333336</v>
      </c>
      <c r="C236" t="s">
        <v>47</v>
      </c>
      <c r="D236">
        <v>7</v>
      </c>
      <c r="E236">
        <v>89</v>
      </c>
      <c r="F236">
        <v>8.1999999999999993</v>
      </c>
      <c r="G236">
        <v>21.7</v>
      </c>
      <c r="H236" t="s">
        <v>78</v>
      </c>
    </row>
    <row r="237" spans="1:8">
      <c r="A237" t="s">
        <v>307</v>
      </c>
      <c r="B237" s="3">
        <v>46034.333333333336</v>
      </c>
      <c r="C237" t="s">
        <v>50</v>
      </c>
      <c r="D237">
        <v>7</v>
      </c>
      <c r="E237">
        <v>78</v>
      </c>
      <c r="F237">
        <v>5.5</v>
      </c>
      <c r="G237">
        <v>15</v>
      </c>
      <c r="H237" t="s">
        <v>70</v>
      </c>
    </row>
    <row r="238" spans="1:8">
      <c r="A238" t="s">
        <v>308</v>
      </c>
      <c r="B238" s="3">
        <v>46034.333333333336</v>
      </c>
      <c r="C238" t="s">
        <v>52</v>
      </c>
      <c r="D238">
        <v>10</v>
      </c>
      <c r="E238">
        <v>68</v>
      </c>
      <c r="F238">
        <v>3.9</v>
      </c>
      <c r="G238">
        <v>8.6</v>
      </c>
      <c r="H238" t="s">
        <v>70</v>
      </c>
    </row>
    <row r="239" spans="1:8">
      <c r="A239" t="s">
        <v>309</v>
      </c>
      <c r="B239" s="3">
        <v>46034.333333333336</v>
      </c>
      <c r="C239" t="s">
        <v>55</v>
      </c>
      <c r="D239">
        <v>7</v>
      </c>
      <c r="E239">
        <v>67</v>
      </c>
      <c r="F239">
        <v>5.2</v>
      </c>
      <c r="G239">
        <v>10.3</v>
      </c>
      <c r="H239" t="s">
        <v>70</v>
      </c>
    </row>
    <row r="240" spans="1:8">
      <c r="A240" t="s">
        <v>310</v>
      </c>
      <c r="B240" s="3">
        <v>46034.333333333336</v>
      </c>
      <c r="C240" t="s">
        <v>57</v>
      </c>
      <c r="D240">
        <v>9</v>
      </c>
      <c r="E240">
        <v>50</v>
      </c>
      <c r="F240">
        <v>4.0999999999999996</v>
      </c>
      <c r="G240">
        <v>15.5</v>
      </c>
      <c r="H240" t="s">
        <v>70</v>
      </c>
    </row>
    <row r="241" spans="1:8">
      <c r="A241" t="s">
        <v>311</v>
      </c>
      <c r="B241" s="3">
        <v>46034.333333333336</v>
      </c>
      <c r="C241" t="s">
        <v>60</v>
      </c>
      <c r="D241">
        <v>6</v>
      </c>
      <c r="E241">
        <v>51</v>
      </c>
      <c r="F241">
        <v>4.0999999999999996</v>
      </c>
      <c r="G241">
        <v>14.1</v>
      </c>
      <c r="H241" t="s">
        <v>70</v>
      </c>
    </row>
    <row r="242" spans="1:8">
      <c r="A242" t="s">
        <v>312</v>
      </c>
      <c r="B242" s="3">
        <v>46035.333333333336</v>
      </c>
      <c r="C242" t="s">
        <v>8</v>
      </c>
      <c r="D242">
        <v>9</v>
      </c>
      <c r="E242">
        <v>66</v>
      </c>
      <c r="F242">
        <v>5.2</v>
      </c>
      <c r="G242">
        <v>15.6</v>
      </c>
      <c r="H242" t="s">
        <v>70</v>
      </c>
    </row>
    <row r="243" spans="1:8">
      <c r="A243" t="s">
        <v>313</v>
      </c>
      <c r="B243" s="3">
        <v>46035.333333333336</v>
      </c>
      <c r="C243" t="s">
        <v>13</v>
      </c>
      <c r="D243">
        <v>10</v>
      </c>
      <c r="E243">
        <v>67</v>
      </c>
      <c r="F243">
        <v>4.5</v>
      </c>
      <c r="G243">
        <v>15.2</v>
      </c>
      <c r="H243" t="s">
        <v>70</v>
      </c>
    </row>
    <row r="244" spans="1:8">
      <c r="A244" t="s">
        <v>314</v>
      </c>
      <c r="B244" s="3">
        <v>46035.333333333336</v>
      </c>
      <c r="C244" t="s">
        <v>15</v>
      </c>
      <c r="D244">
        <v>10</v>
      </c>
      <c r="E244">
        <v>80</v>
      </c>
      <c r="F244">
        <v>3.8</v>
      </c>
      <c r="G244">
        <v>9.6</v>
      </c>
      <c r="H244" t="s">
        <v>70</v>
      </c>
    </row>
    <row r="245" spans="1:8">
      <c r="A245" t="s">
        <v>315</v>
      </c>
      <c r="B245" s="3">
        <v>46035.333333333336</v>
      </c>
      <c r="C245" t="s">
        <v>18</v>
      </c>
      <c r="D245">
        <v>9</v>
      </c>
      <c r="E245">
        <v>79</v>
      </c>
      <c r="F245">
        <v>5.5</v>
      </c>
      <c r="G245">
        <v>10.7</v>
      </c>
      <c r="H245" t="s">
        <v>70</v>
      </c>
    </row>
    <row r="246" spans="1:8">
      <c r="A246" t="s">
        <v>316</v>
      </c>
      <c r="B246" s="3">
        <v>46035.333333333336</v>
      </c>
      <c r="C246" t="s">
        <v>20</v>
      </c>
      <c r="D246">
        <v>7</v>
      </c>
      <c r="E246">
        <v>65</v>
      </c>
      <c r="F246">
        <v>4.9000000000000004</v>
      </c>
      <c r="G246">
        <v>14</v>
      </c>
      <c r="H246" t="s">
        <v>70</v>
      </c>
    </row>
    <row r="247" spans="1:8">
      <c r="A247" t="s">
        <v>317</v>
      </c>
      <c r="B247" s="3">
        <v>46035.333333333336</v>
      </c>
      <c r="C247" t="s">
        <v>24</v>
      </c>
      <c r="D247">
        <v>7</v>
      </c>
      <c r="E247">
        <v>68</v>
      </c>
      <c r="F247">
        <v>3.6</v>
      </c>
      <c r="G247">
        <v>10.5</v>
      </c>
      <c r="H247" t="s">
        <v>70</v>
      </c>
    </row>
    <row r="248" spans="1:8">
      <c r="A248" t="s">
        <v>318</v>
      </c>
      <c r="B248" s="3">
        <v>46035.333333333336</v>
      </c>
      <c r="C248" t="s">
        <v>26</v>
      </c>
      <c r="D248">
        <v>6</v>
      </c>
      <c r="E248">
        <v>67</v>
      </c>
      <c r="F248">
        <v>6.5</v>
      </c>
      <c r="G248">
        <v>11.9</v>
      </c>
      <c r="H248" t="s">
        <v>70</v>
      </c>
    </row>
    <row r="249" spans="1:8">
      <c r="A249" t="s">
        <v>319</v>
      </c>
      <c r="B249" s="3">
        <v>46035.333333333336</v>
      </c>
      <c r="C249" t="s">
        <v>28</v>
      </c>
      <c r="D249">
        <v>7</v>
      </c>
      <c r="E249">
        <v>93</v>
      </c>
      <c r="F249">
        <v>7.2</v>
      </c>
      <c r="G249">
        <v>19</v>
      </c>
      <c r="H249" t="s">
        <v>84</v>
      </c>
    </row>
    <row r="250" spans="1:8">
      <c r="A250" t="s">
        <v>320</v>
      </c>
      <c r="B250" s="3">
        <v>46035.333333333336</v>
      </c>
      <c r="C250" t="s">
        <v>31</v>
      </c>
      <c r="D250">
        <v>6</v>
      </c>
      <c r="E250">
        <v>78</v>
      </c>
      <c r="F250">
        <v>4.4000000000000004</v>
      </c>
      <c r="G250">
        <v>14.8</v>
      </c>
      <c r="H250" t="s">
        <v>70</v>
      </c>
    </row>
    <row r="251" spans="1:8">
      <c r="A251" t="s">
        <v>321</v>
      </c>
      <c r="B251" s="3">
        <v>46035.333333333336</v>
      </c>
      <c r="C251" t="s">
        <v>33</v>
      </c>
      <c r="D251">
        <v>6</v>
      </c>
      <c r="E251">
        <v>62</v>
      </c>
      <c r="F251">
        <v>4.5</v>
      </c>
      <c r="G251">
        <v>13.6</v>
      </c>
      <c r="H251" t="s">
        <v>70</v>
      </c>
    </row>
    <row r="252" spans="1:8">
      <c r="A252" t="s">
        <v>322</v>
      </c>
      <c r="B252" s="3">
        <v>46035.333333333336</v>
      </c>
      <c r="C252" t="s">
        <v>36</v>
      </c>
      <c r="D252">
        <v>8</v>
      </c>
      <c r="E252">
        <v>62</v>
      </c>
      <c r="F252">
        <v>5.8</v>
      </c>
      <c r="G252">
        <v>11.2</v>
      </c>
      <c r="H252" t="s">
        <v>70</v>
      </c>
    </row>
    <row r="253" spans="1:8">
      <c r="A253" t="s">
        <v>323</v>
      </c>
      <c r="B253" s="3">
        <v>46035.333333333336</v>
      </c>
      <c r="C253" t="s">
        <v>38</v>
      </c>
      <c r="D253">
        <v>6</v>
      </c>
      <c r="E253">
        <v>59</v>
      </c>
      <c r="F253">
        <v>3.9</v>
      </c>
      <c r="G253">
        <v>12.4</v>
      </c>
      <c r="H253" t="s">
        <v>70</v>
      </c>
    </row>
    <row r="254" spans="1:8">
      <c r="A254" t="s">
        <v>324</v>
      </c>
      <c r="B254" s="3">
        <v>46035.333333333336</v>
      </c>
      <c r="C254" t="s">
        <v>42</v>
      </c>
      <c r="D254">
        <v>9</v>
      </c>
      <c r="E254">
        <v>83</v>
      </c>
      <c r="F254">
        <v>7.6</v>
      </c>
      <c r="G254">
        <v>16.399999999999999</v>
      </c>
      <c r="H254" t="s">
        <v>78</v>
      </c>
    </row>
    <row r="255" spans="1:8">
      <c r="A255" t="s">
        <v>325</v>
      </c>
      <c r="B255" s="3">
        <v>46035.333333333336</v>
      </c>
      <c r="C255" t="s">
        <v>45</v>
      </c>
      <c r="D255">
        <v>7</v>
      </c>
      <c r="E255">
        <v>72</v>
      </c>
      <c r="F255">
        <v>4.2</v>
      </c>
      <c r="G255">
        <v>8.6999999999999993</v>
      </c>
      <c r="H255" t="s">
        <v>70</v>
      </c>
    </row>
    <row r="256" spans="1:8">
      <c r="A256" t="s">
        <v>326</v>
      </c>
      <c r="B256" s="3">
        <v>46035.333333333336</v>
      </c>
      <c r="C256" t="s">
        <v>47</v>
      </c>
      <c r="D256">
        <v>8</v>
      </c>
      <c r="E256">
        <v>84</v>
      </c>
      <c r="F256">
        <v>6.7</v>
      </c>
      <c r="G256">
        <v>16.8</v>
      </c>
      <c r="H256" t="s">
        <v>70</v>
      </c>
    </row>
    <row r="257" spans="1:8">
      <c r="A257" t="s">
        <v>327</v>
      </c>
      <c r="B257" s="3">
        <v>46035.333333333336</v>
      </c>
      <c r="C257" t="s">
        <v>50</v>
      </c>
      <c r="D257">
        <v>9</v>
      </c>
      <c r="E257">
        <v>73</v>
      </c>
      <c r="F257">
        <v>4.7</v>
      </c>
      <c r="G257">
        <v>12.8</v>
      </c>
      <c r="H257" t="s">
        <v>70</v>
      </c>
    </row>
    <row r="258" spans="1:8">
      <c r="A258" t="s">
        <v>328</v>
      </c>
      <c r="B258" s="3">
        <v>46035.333333333336</v>
      </c>
      <c r="C258" t="s">
        <v>52</v>
      </c>
      <c r="D258">
        <v>6</v>
      </c>
      <c r="E258">
        <v>69</v>
      </c>
      <c r="F258">
        <v>4.4000000000000004</v>
      </c>
      <c r="G258">
        <v>10</v>
      </c>
      <c r="H258" t="s">
        <v>70</v>
      </c>
    </row>
    <row r="259" spans="1:8">
      <c r="A259" t="s">
        <v>329</v>
      </c>
      <c r="B259" s="3">
        <v>46035.333333333336</v>
      </c>
      <c r="C259" t="s">
        <v>55</v>
      </c>
      <c r="D259">
        <v>9</v>
      </c>
      <c r="E259">
        <v>63</v>
      </c>
      <c r="F259">
        <v>5.2</v>
      </c>
      <c r="G259">
        <v>13.9</v>
      </c>
      <c r="H259" t="s">
        <v>70</v>
      </c>
    </row>
    <row r="260" spans="1:8">
      <c r="A260" t="s">
        <v>330</v>
      </c>
      <c r="B260" s="3">
        <v>46035.333333333336</v>
      </c>
      <c r="C260" t="s">
        <v>57</v>
      </c>
      <c r="D260">
        <v>8</v>
      </c>
      <c r="E260">
        <v>53</v>
      </c>
      <c r="F260">
        <v>3.9</v>
      </c>
      <c r="G260">
        <v>8.1999999999999993</v>
      </c>
      <c r="H260" t="s">
        <v>70</v>
      </c>
    </row>
    <row r="261" spans="1:8">
      <c r="A261" t="s">
        <v>331</v>
      </c>
      <c r="B261" s="3">
        <v>46035.333333333336</v>
      </c>
      <c r="C261" t="s">
        <v>60</v>
      </c>
      <c r="D261">
        <v>10</v>
      </c>
      <c r="E261">
        <v>53</v>
      </c>
      <c r="F261">
        <v>4.5</v>
      </c>
      <c r="G261">
        <v>11.9</v>
      </c>
      <c r="H261" t="s">
        <v>70</v>
      </c>
    </row>
    <row r="262" spans="1:8">
      <c r="A262" t="s">
        <v>332</v>
      </c>
      <c r="B262" s="3">
        <v>46036.333333333336</v>
      </c>
      <c r="C262" t="s">
        <v>8</v>
      </c>
      <c r="D262">
        <v>8</v>
      </c>
      <c r="E262">
        <v>66</v>
      </c>
      <c r="F262">
        <v>3.8</v>
      </c>
      <c r="G262">
        <v>11.3</v>
      </c>
      <c r="H262" t="s">
        <v>70</v>
      </c>
    </row>
    <row r="263" spans="1:8">
      <c r="A263" t="s">
        <v>333</v>
      </c>
      <c r="B263" s="3">
        <v>46036.333333333336</v>
      </c>
      <c r="C263" t="s">
        <v>13</v>
      </c>
      <c r="D263">
        <v>7</v>
      </c>
      <c r="E263">
        <v>72</v>
      </c>
      <c r="F263">
        <v>4.8</v>
      </c>
      <c r="G263">
        <v>13.4</v>
      </c>
      <c r="H263" t="s">
        <v>70</v>
      </c>
    </row>
    <row r="264" spans="1:8">
      <c r="A264" t="s">
        <v>334</v>
      </c>
      <c r="B264" s="3">
        <v>46036.333333333336</v>
      </c>
      <c r="C264" t="s">
        <v>15</v>
      </c>
      <c r="D264">
        <v>8</v>
      </c>
      <c r="E264">
        <v>78</v>
      </c>
      <c r="F264">
        <v>5.5</v>
      </c>
      <c r="G264">
        <v>9.6</v>
      </c>
      <c r="H264" t="s">
        <v>70</v>
      </c>
    </row>
    <row r="265" spans="1:8">
      <c r="A265" t="s">
        <v>335</v>
      </c>
      <c r="B265" s="3">
        <v>46036.333333333336</v>
      </c>
      <c r="C265" t="s">
        <v>18</v>
      </c>
      <c r="D265">
        <v>8</v>
      </c>
      <c r="E265">
        <v>77</v>
      </c>
      <c r="F265">
        <v>5.8</v>
      </c>
      <c r="G265">
        <v>8.5</v>
      </c>
      <c r="H265" t="s">
        <v>70</v>
      </c>
    </row>
    <row r="266" spans="1:8">
      <c r="A266" t="s">
        <v>336</v>
      </c>
      <c r="B266" s="3">
        <v>46036.333333333336</v>
      </c>
      <c r="C266" t="s">
        <v>20</v>
      </c>
      <c r="D266">
        <v>10</v>
      </c>
      <c r="E266">
        <v>69</v>
      </c>
      <c r="F266">
        <v>4.7</v>
      </c>
      <c r="G266">
        <v>10.199999999999999</v>
      </c>
      <c r="H266" t="s">
        <v>70</v>
      </c>
    </row>
    <row r="267" spans="1:8">
      <c r="A267" t="s">
        <v>337</v>
      </c>
      <c r="B267" s="3">
        <v>46036.333333333336</v>
      </c>
      <c r="C267" t="s">
        <v>24</v>
      </c>
      <c r="D267">
        <v>10</v>
      </c>
      <c r="E267">
        <v>68</v>
      </c>
      <c r="F267">
        <v>6.6</v>
      </c>
      <c r="G267">
        <v>15.4</v>
      </c>
      <c r="H267" t="s">
        <v>70</v>
      </c>
    </row>
    <row r="268" spans="1:8">
      <c r="A268" t="s">
        <v>338</v>
      </c>
      <c r="B268" s="3">
        <v>46036.333333333336</v>
      </c>
      <c r="C268" t="s">
        <v>26</v>
      </c>
      <c r="D268">
        <v>9</v>
      </c>
      <c r="E268">
        <v>69</v>
      </c>
      <c r="F268">
        <v>5.0999999999999996</v>
      </c>
      <c r="G268">
        <v>9.1999999999999993</v>
      </c>
      <c r="H268" t="s">
        <v>70</v>
      </c>
    </row>
    <row r="269" spans="1:8">
      <c r="A269" t="s">
        <v>339</v>
      </c>
      <c r="B269" s="3">
        <v>46036.333333333336</v>
      </c>
      <c r="C269" t="s">
        <v>28</v>
      </c>
      <c r="D269">
        <v>10</v>
      </c>
      <c r="E269">
        <v>88</v>
      </c>
      <c r="F269">
        <v>8.6</v>
      </c>
      <c r="G269">
        <v>19.3</v>
      </c>
      <c r="H269" t="s">
        <v>84</v>
      </c>
    </row>
    <row r="270" spans="1:8">
      <c r="A270" t="s">
        <v>340</v>
      </c>
      <c r="B270" s="3">
        <v>46036.333333333336</v>
      </c>
      <c r="C270" t="s">
        <v>31</v>
      </c>
      <c r="D270">
        <v>6</v>
      </c>
      <c r="E270">
        <v>77</v>
      </c>
      <c r="F270">
        <v>6.4</v>
      </c>
      <c r="G270">
        <v>12</v>
      </c>
      <c r="H270" t="s">
        <v>70</v>
      </c>
    </row>
    <row r="271" spans="1:8">
      <c r="A271" t="s">
        <v>341</v>
      </c>
      <c r="B271" s="3">
        <v>46036.333333333336</v>
      </c>
      <c r="C271" t="s">
        <v>33</v>
      </c>
      <c r="D271">
        <v>8</v>
      </c>
      <c r="E271">
        <v>65</v>
      </c>
      <c r="F271">
        <v>5.3</v>
      </c>
      <c r="G271">
        <v>10.3</v>
      </c>
      <c r="H271" t="s">
        <v>70</v>
      </c>
    </row>
    <row r="272" spans="1:8">
      <c r="A272" t="s">
        <v>342</v>
      </c>
      <c r="B272" s="3">
        <v>46036.333333333336</v>
      </c>
      <c r="C272" t="s">
        <v>36</v>
      </c>
      <c r="D272">
        <v>9</v>
      </c>
      <c r="E272">
        <v>64</v>
      </c>
      <c r="F272">
        <v>3.6</v>
      </c>
      <c r="G272">
        <v>12.9</v>
      </c>
      <c r="H272" t="s">
        <v>70</v>
      </c>
    </row>
    <row r="273" spans="1:8">
      <c r="A273" t="s">
        <v>343</v>
      </c>
      <c r="B273" s="3">
        <v>46036.333333333336</v>
      </c>
      <c r="C273" t="s">
        <v>38</v>
      </c>
      <c r="D273">
        <v>7</v>
      </c>
      <c r="E273">
        <v>59</v>
      </c>
      <c r="F273">
        <v>5.5</v>
      </c>
      <c r="G273">
        <v>14.8</v>
      </c>
      <c r="H273" t="s">
        <v>70</v>
      </c>
    </row>
    <row r="274" spans="1:8">
      <c r="A274" t="s">
        <v>344</v>
      </c>
      <c r="B274" s="3">
        <v>46036.333333333336</v>
      </c>
      <c r="C274" t="s">
        <v>42</v>
      </c>
      <c r="D274">
        <v>6</v>
      </c>
      <c r="E274">
        <v>80</v>
      </c>
      <c r="F274">
        <v>8.8000000000000007</v>
      </c>
      <c r="G274">
        <v>16.600000000000001</v>
      </c>
      <c r="H274" t="s">
        <v>84</v>
      </c>
    </row>
    <row r="275" spans="1:8">
      <c r="A275" t="s">
        <v>345</v>
      </c>
      <c r="B275" s="3">
        <v>46036.333333333336</v>
      </c>
      <c r="C275" t="s">
        <v>45</v>
      </c>
      <c r="D275">
        <v>9</v>
      </c>
      <c r="E275">
        <v>65</v>
      </c>
      <c r="F275">
        <v>4.0999999999999996</v>
      </c>
      <c r="G275">
        <v>12.8</v>
      </c>
      <c r="H275" t="s">
        <v>70</v>
      </c>
    </row>
    <row r="276" spans="1:8">
      <c r="A276" t="s">
        <v>346</v>
      </c>
      <c r="B276" s="3">
        <v>46036.333333333336</v>
      </c>
      <c r="C276" t="s">
        <v>47</v>
      </c>
      <c r="D276">
        <v>8</v>
      </c>
      <c r="E276">
        <v>92</v>
      </c>
      <c r="F276">
        <v>6.9</v>
      </c>
      <c r="G276">
        <v>19.100000000000001</v>
      </c>
      <c r="H276" t="s">
        <v>84</v>
      </c>
    </row>
    <row r="277" spans="1:8">
      <c r="A277" t="s">
        <v>347</v>
      </c>
      <c r="B277" s="3">
        <v>46036.333333333336</v>
      </c>
      <c r="C277" t="s">
        <v>50</v>
      </c>
      <c r="D277">
        <v>7</v>
      </c>
      <c r="E277">
        <v>70</v>
      </c>
      <c r="F277">
        <v>4.8</v>
      </c>
      <c r="G277">
        <v>11.5</v>
      </c>
      <c r="H277" t="s">
        <v>70</v>
      </c>
    </row>
    <row r="278" spans="1:8">
      <c r="A278" t="s">
        <v>348</v>
      </c>
      <c r="B278" s="3">
        <v>46036.333333333336</v>
      </c>
      <c r="C278" t="s">
        <v>52</v>
      </c>
      <c r="D278">
        <v>6</v>
      </c>
      <c r="E278">
        <v>64</v>
      </c>
      <c r="F278">
        <v>3.6</v>
      </c>
      <c r="G278">
        <v>11.4</v>
      </c>
      <c r="H278" t="s">
        <v>70</v>
      </c>
    </row>
    <row r="279" spans="1:8">
      <c r="A279" t="s">
        <v>349</v>
      </c>
      <c r="B279" s="3">
        <v>46036.333333333336</v>
      </c>
      <c r="C279" t="s">
        <v>55</v>
      </c>
      <c r="D279">
        <v>10</v>
      </c>
      <c r="E279">
        <v>60</v>
      </c>
      <c r="F279">
        <v>5.7</v>
      </c>
      <c r="G279">
        <v>8.8000000000000007</v>
      </c>
      <c r="H279" t="s">
        <v>70</v>
      </c>
    </row>
    <row r="280" spans="1:8">
      <c r="A280" t="s">
        <v>350</v>
      </c>
      <c r="B280" s="3">
        <v>46036.333333333336</v>
      </c>
      <c r="C280" t="s">
        <v>57</v>
      </c>
      <c r="D280">
        <v>8</v>
      </c>
      <c r="E280">
        <v>50</v>
      </c>
      <c r="F280">
        <v>3.9</v>
      </c>
      <c r="G280">
        <v>8.3000000000000007</v>
      </c>
      <c r="H280" t="s">
        <v>70</v>
      </c>
    </row>
    <row r="281" spans="1:8">
      <c r="A281" t="s">
        <v>351</v>
      </c>
      <c r="B281" s="3">
        <v>46036.333333333336</v>
      </c>
      <c r="C281" t="s">
        <v>60</v>
      </c>
      <c r="D281">
        <v>7</v>
      </c>
      <c r="E281">
        <v>54</v>
      </c>
      <c r="F281">
        <v>3.7</v>
      </c>
      <c r="G281">
        <v>13.8</v>
      </c>
      <c r="H281" t="s">
        <v>70</v>
      </c>
    </row>
    <row r="282" spans="1:8">
      <c r="A282" t="s">
        <v>352</v>
      </c>
      <c r="B282" s="3">
        <v>46037.333333333336</v>
      </c>
      <c r="C282" t="s">
        <v>8</v>
      </c>
      <c r="D282">
        <v>7</v>
      </c>
      <c r="E282">
        <v>71</v>
      </c>
      <c r="F282">
        <v>4.0999999999999996</v>
      </c>
      <c r="G282">
        <v>11.2</v>
      </c>
      <c r="H282" t="s">
        <v>70</v>
      </c>
    </row>
    <row r="283" spans="1:8">
      <c r="A283" t="s">
        <v>353</v>
      </c>
      <c r="B283" s="3">
        <v>46037.333333333336</v>
      </c>
      <c r="C283" t="s">
        <v>13</v>
      </c>
      <c r="D283">
        <v>9</v>
      </c>
      <c r="E283">
        <v>65</v>
      </c>
      <c r="F283">
        <v>3.9</v>
      </c>
      <c r="G283">
        <v>12.7</v>
      </c>
      <c r="H283" t="s">
        <v>70</v>
      </c>
    </row>
    <row r="284" spans="1:8">
      <c r="A284" t="s">
        <v>354</v>
      </c>
      <c r="B284" s="3">
        <v>46037.333333333336</v>
      </c>
      <c r="C284" t="s">
        <v>15</v>
      </c>
      <c r="D284">
        <v>7</v>
      </c>
      <c r="E284">
        <v>77</v>
      </c>
      <c r="F284">
        <v>5.5</v>
      </c>
      <c r="G284">
        <v>10.9</v>
      </c>
      <c r="H284" t="s">
        <v>70</v>
      </c>
    </row>
    <row r="285" spans="1:8">
      <c r="A285" t="s">
        <v>355</v>
      </c>
      <c r="B285" s="3">
        <v>46037.333333333336</v>
      </c>
      <c r="C285" t="s">
        <v>18</v>
      </c>
      <c r="D285">
        <v>6</v>
      </c>
      <c r="E285">
        <v>77</v>
      </c>
      <c r="F285">
        <v>4.5999999999999996</v>
      </c>
      <c r="G285">
        <v>12</v>
      </c>
      <c r="H285" t="s">
        <v>70</v>
      </c>
    </row>
    <row r="286" spans="1:8">
      <c r="A286" t="s">
        <v>356</v>
      </c>
      <c r="B286" s="3">
        <v>46037.333333333336</v>
      </c>
      <c r="C286" t="s">
        <v>20</v>
      </c>
      <c r="D286">
        <v>7</v>
      </c>
      <c r="E286">
        <v>66</v>
      </c>
      <c r="F286">
        <v>4.5999999999999996</v>
      </c>
      <c r="G286">
        <v>12.4</v>
      </c>
      <c r="H286" t="s">
        <v>70</v>
      </c>
    </row>
    <row r="287" spans="1:8">
      <c r="A287" t="s">
        <v>357</v>
      </c>
      <c r="B287" s="3">
        <v>46037.333333333336</v>
      </c>
      <c r="C287" t="s">
        <v>24</v>
      </c>
      <c r="D287">
        <v>7</v>
      </c>
      <c r="E287">
        <v>63</v>
      </c>
      <c r="F287">
        <v>4.8</v>
      </c>
      <c r="G287">
        <v>9.8000000000000007</v>
      </c>
      <c r="H287" t="s">
        <v>70</v>
      </c>
    </row>
    <row r="288" spans="1:8">
      <c r="A288" t="s">
        <v>358</v>
      </c>
      <c r="B288" s="3">
        <v>46037.333333333336</v>
      </c>
      <c r="C288" t="s">
        <v>26</v>
      </c>
      <c r="D288">
        <v>6</v>
      </c>
      <c r="E288">
        <v>65</v>
      </c>
      <c r="F288">
        <v>5.8</v>
      </c>
      <c r="G288">
        <v>13</v>
      </c>
      <c r="H288" t="s">
        <v>70</v>
      </c>
    </row>
    <row r="289" spans="1:8">
      <c r="A289" t="s">
        <v>359</v>
      </c>
      <c r="B289" s="3">
        <v>46037.333333333336</v>
      </c>
      <c r="C289" t="s">
        <v>28</v>
      </c>
      <c r="D289">
        <v>10</v>
      </c>
      <c r="E289">
        <v>90</v>
      </c>
      <c r="F289">
        <v>6.9</v>
      </c>
      <c r="G289">
        <v>14.3</v>
      </c>
      <c r="H289" t="s">
        <v>70</v>
      </c>
    </row>
    <row r="290" spans="1:8">
      <c r="A290" t="s">
        <v>360</v>
      </c>
      <c r="B290" s="3">
        <v>46037.333333333336</v>
      </c>
      <c r="C290" t="s">
        <v>31</v>
      </c>
      <c r="D290">
        <v>10</v>
      </c>
      <c r="E290">
        <v>80</v>
      </c>
      <c r="F290">
        <v>4.5999999999999996</v>
      </c>
      <c r="G290">
        <v>10.6</v>
      </c>
      <c r="H290" t="s">
        <v>70</v>
      </c>
    </row>
    <row r="291" spans="1:8">
      <c r="A291" t="s">
        <v>361</v>
      </c>
      <c r="B291" s="3">
        <v>46037.333333333336</v>
      </c>
      <c r="C291" t="s">
        <v>33</v>
      </c>
      <c r="D291">
        <v>10</v>
      </c>
      <c r="E291">
        <v>61</v>
      </c>
      <c r="F291">
        <v>3.6</v>
      </c>
      <c r="G291">
        <v>10.5</v>
      </c>
      <c r="H291" t="s">
        <v>70</v>
      </c>
    </row>
    <row r="292" spans="1:8">
      <c r="A292" t="s">
        <v>362</v>
      </c>
      <c r="B292" s="3">
        <v>46037.333333333336</v>
      </c>
      <c r="C292" t="s">
        <v>36</v>
      </c>
      <c r="D292">
        <v>7</v>
      </c>
      <c r="E292">
        <v>56</v>
      </c>
      <c r="F292">
        <v>4.7</v>
      </c>
      <c r="G292">
        <v>10.4</v>
      </c>
      <c r="H292" t="s">
        <v>70</v>
      </c>
    </row>
    <row r="293" spans="1:8">
      <c r="A293" t="s">
        <v>363</v>
      </c>
      <c r="B293" s="3">
        <v>46037.333333333336</v>
      </c>
      <c r="C293" t="s">
        <v>38</v>
      </c>
      <c r="D293">
        <v>10</v>
      </c>
      <c r="E293">
        <v>59</v>
      </c>
      <c r="F293">
        <v>6</v>
      </c>
      <c r="G293">
        <v>9.1999999999999993</v>
      </c>
      <c r="H293" t="s">
        <v>70</v>
      </c>
    </row>
    <row r="294" spans="1:8">
      <c r="A294" t="s">
        <v>364</v>
      </c>
      <c r="B294" s="3">
        <v>46037.333333333336</v>
      </c>
      <c r="C294" t="s">
        <v>42</v>
      </c>
      <c r="D294">
        <v>10</v>
      </c>
      <c r="E294">
        <v>87</v>
      </c>
      <c r="F294">
        <v>7.8</v>
      </c>
      <c r="G294">
        <v>18.5</v>
      </c>
      <c r="H294" t="s">
        <v>78</v>
      </c>
    </row>
    <row r="295" spans="1:8">
      <c r="A295" t="s">
        <v>365</v>
      </c>
      <c r="B295" s="3">
        <v>46037.333333333336</v>
      </c>
      <c r="C295" t="s">
        <v>45</v>
      </c>
      <c r="D295">
        <v>10</v>
      </c>
      <c r="E295">
        <v>69</v>
      </c>
      <c r="F295">
        <v>5.9</v>
      </c>
      <c r="G295">
        <v>10.1</v>
      </c>
      <c r="H295" t="s">
        <v>70</v>
      </c>
    </row>
    <row r="296" spans="1:8">
      <c r="A296" t="s">
        <v>366</v>
      </c>
      <c r="B296" s="3">
        <v>46037.333333333336</v>
      </c>
      <c r="C296" t="s">
        <v>47</v>
      </c>
      <c r="D296">
        <v>6</v>
      </c>
      <c r="E296">
        <v>85</v>
      </c>
      <c r="F296">
        <v>7.9</v>
      </c>
      <c r="G296">
        <v>16.3</v>
      </c>
      <c r="H296" t="s">
        <v>84</v>
      </c>
    </row>
    <row r="297" spans="1:8">
      <c r="A297" t="s">
        <v>367</v>
      </c>
      <c r="B297" s="3">
        <v>46037.333333333336</v>
      </c>
      <c r="C297" t="s">
        <v>50</v>
      </c>
      <c r="D297">
        <v>10</v>
      </c>
      <c r="E297">
        <v>70</v>
      </c>
      <c r="F297">
        <v>5.2</v>
      </c>
      <c r="G297">
        <v>13.3</v>
      </c>
      <c r="H297" t="s">
        <v>70</v>
      </c>
    </row>
    <row r="298" spans="1:8">
      <c r="A298" t="s">
        <v>368</v>
      </c>
      <c r="B298" s="3">
        <v>46037.333333333336</v>
      </c>
      <c r="C298" t="s">
        <v>52</v>
      </c>
      <c r="D298">
        <v>10</v>
      </c>
      <c r="E298">
        <v>60</v>
      </c>
      <c r="F298">
        <v>4.8</v>
      </c>
      <c r="G298">
        <v>16</v>
      </c>
      <c r="H298" t="s">
        <v>70</v>
      </c>
    </row>
    <row r="299" spans="1:8">
      <c r="A299" t="s">
        <v>369</v>
      </c>
      <c r="B299" s="3">
        <v>46037.333333333336</v>
      </c>
      <c r="C299" t="s">
        <v>55</v>
      </c>
      <c r="D299">
        <v>6</v>
      </c>
      <c r="E299">
        <v>63</v>
      </c>
      <c r="F299">
        <v>5.4</v>
      </c>
      <c r="G299">
        <v>11.1</v>
      </c>
      <c r="H299" t="s">
        <v>70</v>
      </c>
    </row>
    <row r="300" spans="1:8">
      <c r="A300" t="s">
        <v>370</v>
      </c>
      <c r="B300" s="3">
        <v>46037.333333333336</v>
      </c>
      <c r="C300" t="s">
        <v>57</v>
      </c>
      <c r="D300">
        <v>6</v>
      </c>
      <c r="E300">
        <v>51</v>
      </c>
      <c r="F300">
        <v>4.7</v>
      </c>
      <c r="G300">
        <v>13.3</v>
      </c>
      <c r="H300" t="s">
        <v>70</v>
      </c>
    </row>
    <row r="301" spans="1:8">
      <c r="A301" t="s">
        <v>371</v>
      </c>
      <c r="B301" s="3">
        <v>46037.333333333336</v>
      </c>
      <c r="C301" t="s">
        <v>60</v>
      </c>
      <c r="D301">
        <v>9</v>
      </c>
      <c r="E301">
        <v>53</v>
      </c>
      <c r="F301">
        <v>5.4</v>
      </c>
      <c r="G301">
        <v>13.5</v>
      </c>
      <c r="H301" t="s">
        <v>70</v>
      </c>
    </row>
    <row r="302" spans="1:8">
      <c r="A302" t="s">
        <v>372</v>
      </c>
      <c r="B302" s="3">
        <v>46038.333333333336</v>
      </c>
      <c r="C302" t="s">
        <v>8</v>
      </c>
      <c r="D302">
        <v>8</v>
      </c>
      <c r="E302">
        <v>65</v>
      </c>
      <c r="F302">
        <v>4.0999999999999996</v>
      </c>
      <c r="G302">
        <v>10.9</v>
      </c>
      <c r="H302" t="s">
        <v>70</v>
      </c>
    </row>
    <row r="303" spans="1:8">
      <c r="A303" t="s">
        <v>373</v>
      </c>
      <c r="B303" s="3">
        <v>46038.333333333336</v>
      </c>
      <c r="C303" t="s">
        <v>13</v>
      </c>
      <c r="D303">
        <v>9</v>
      </c>
      <c r="E303">
        <v>66</v>
      </c>
      <c r="F303">
        <v>3.3</v>
      </c>
      <c r="G303">
        <v>13.2</v>
      </c>
      <c r="H303" t="s">
        <v>70</v>
      </c>
    </row>
    <row r="304" spans="1:8">
      <c r="A304" t="s">
        <v>374</v>
      </c>
      <c r="B304" s="3">
        <v>46038.333333333336</v>
      </c>
      <c r="C304" t="s">
        <v>15</v>
      </c>
      <c r="D304">
        <v>10</v>
      </c>
      <c r="E304">
        <v>77</v>
      </c>
      <c r="F304">
        <v>5.2</v>
      </c>
      <c r="G304">
        <v>15.6</v>
      </c>
      <c r="H304" t="s">
        <v>70</v>
      </c>
    </row>
    <row r="305" spans="1:8">
      <c r="A305" t="s">
        <v>375</v>
      </c>
      <c r="B305" s="3">
        <v>46038.333333333336</v>
      </c>
      <c r="C305" t="s">
        <v>18</v>
      </c>
      <c r="D305">
        <v>9</v>
      </c>
      <c r="E305">
        <v>75</v>
      </c>
      <c r="F305">
        <v>4</v>
      </c>
      <c r="G305">
        <v>9.6</v>
      </c>
      <c r="H305" t="s">
        <v>70</v>
      </c>
    </row>
    <row r="306" spans="1:8">
      <c r="A306" t="s">
        <v>376</v>
      </c>
      <c r="B306" s="3">
        <v>46038.333333333336</v>
      </c>
      <c r="C306" t="s">
        <v>20</v>
      </c>
      <c r="D306">
        <v>8</v>
      </c>
      <c r="E306">
        <v>61</v>
      </c>
      <c r="F306">
        <v>3.6</v>
      </c>
      <c r="G306">
        <v>10.5</v>
      </c>
      <c r="H306" t="s">
        <v>70</v>
      </c>
    </row>
    <row r="307" spans="1:8">
      <c r="A307" t="s">
        <v>377</v>
      </c>
      <c r="B307" s="3">
        <v>46038.333333333336</v>
      </c>
      <c r="C307" t="s">
        <v>24</v>
      </c>
      <c r="D307">
        <v>10</v>
      </c>
      <c r="E307">
        <v>65</v>
      </c>
      <c r="F307">
        <v>5.9</v>
      </c>
      <c r="G307">
        <v>12.2</v>
      </c>
      <c r="H307" t="s">
        <v>70</v>
      </c>
    </row>
    <row r="308" spans="1:8">
      <c r="A308" t="s">
        <v>378</v>
      </c>
      <c r="B308" s="3">
        <v>46038.333333333336</v>
      </c>
      <c r="C308" t="s">
        <v>26</v>
      </c>
      <c r="D308">
        <v>10</v>
      </c>
      <c r="E308">
        <v>70</v>
      </c>
      <c r="F308">
        <v>4.4000000000000004</v>
      </c>
      <c r="G308">
        <v>12.9</v>
      </c>
      <c r="H308" t="s">
        <v>70</v>
      </c>
    </row>
    <row r="309" spans="1:8">
      <c r="A309" t="s">
        <v>379</v>
      </c>
      <c r="B309" s="3">
        <v>46038.333333333336</v>
      </c>
      <c r="C309" t="s">
        <v>28</v>
      </c>
      <c r="D309">
        <v>10</v>
      </c>
      <c r="E309">
        <v>92</v>
      </c>
      <c r="F309">
        <v>9.5</v>
      </c>
      <c r="G309">
        <v>15.7</v>
      </c>
      <c r="H309" t="s">
        <v>78</v>
      </c>
    </row>
    <row r="310" spans="1:8">
      <c r="A310" t="s">
        <v>380</v>
      </c>
      <c r="B310" s="3">
        <v>46038.333333333336</v>
      </c>
      <c r="C310" t="s">
        <v>31</v>
      </c>
      <c r="D310">
        <v>9</v>
      </c>
      <c r="E310">
        <v>77</v>
      </c>
      <c r="F310">
        <v>4.0999999999999996</v>
      </c>
      <c r="G310">
        <v>11.8</v>
      </c>
      <c r="H310" t="s">
        <v>70</v>
      </c>
    </row>
    <row r="311" spans="1:8">
      <c r="A311" t="s">
        <v>381</v>
      </c>
      <c r="B311" s="3">
        <v>46038.333333333336</v>
      </c>
      <c r="C311" t="s">
        <v>33</v>
      </c>
      <c r="D311">
        <v>10</v>
      </c>
      <c r="E311">
        <v>55</v>
      </c>
      <c r="F311">
        <v>4.8</v>
      </c>
      <c r="G311">
        <v>11.6</v>
      </c>
      <c r="H311" t="s">
        <v>70</v>
      </c>
    </row>
    <row r="312" spans="1:8">
      <c r="A312" t="s">
        <v>382</v>
      </c>
      <c r="B312" s="3">
        <v>46038.333333333336</v>
      </c>
      <c r="C312" t="s">
        <v>36</v>
      </c>
      <c r="D312">
        <v>8</v>
      </c>
      <c r="E312">
        <v>61</v>
      </c>
      <c r="F312">
        <v>4.5999999999999996</v>
      </c>
      <c r="G312">
        <v>14.3</v>
      </c>
      <c r="H312" t="s">
        <v>70</v>
      </c>
    </row>
    <row r="313" spans="1:8">
      <c r="A313" t="s">
        <v>383</v>
      </c>
      <c r="B313" s="3">
        <v>46038.333333333336</v>
      </c>
      <c r="C313" t="s">
        <v>38</v>
      </c>
      <c r="D313">
        <v>6</v>
      </c>
      <c r="E313">
        <v>56</v>
      </c>
      <c r="F313">
        <v>4.8</v>
      </c>
      <c r="G313">
        <v>8.1999999999999993</v>
      </c>
      <c r="H313" t="s">
        <v>70</v>
      </c>
    </row>
    <row r="314" spans="1:8">
      <c r="A314" t="s">
        <v>384</v>
      </c>
      <c r="B314" s="3">
        <v>46038.333333333336</v>
      </c>
      <c r="C314" t="s">
        <v>42</v>
      </c>
      <c r="D314">
        <v>9</v>
      </c>
      <c r="E314">
        <v>82</v>
      </c>
      <c r="F314">
        <v>6.5</v>
      </c>
      <c r="G314">
        <v>16.2</v>
      </c>
      <c r="H314" t="s">
        <v>84</v>
      </c>
    </row>
    <row r="315" spans="1:8">
      <c r="A315" t="s">
        <v>385</v>
      </c>
      <c r="B315" s="3">
        <v>46038.333333333336</v>
      </c>
      <c r="C315" t="s">
        <v>45</v>
      </c>
      <c r="D315">
        <v>7</v>
      </c>
      <c r="E315">
        <v>75</v>
      </c>
      <c r="F315">
        <v>3.4</v>
      </c>
      <c r="G315">
        <v>9.1</v>
      </c>
      <c r="H315" t="s">
        <v>70</v>
      </c>
    </row>
    <row r="316" spans="1:8">
      <c r="A316" t="s">
        <v>386</v>
      </c>
      <c r="B316" s="3">
        <v>46038.333333333336</v>
      </c>
      <c r="C316" t="s">
        <v>47</v>
      </c>
      <c r="D316">
        <v>10</v>
      </c>
      <c r="E316">
        <v>87</v>
      </c>
      <c r="F316">
        <v>7.9</v>
      </c>
      <c r="G316">
        <v>20.7</v>
      </c>
      <c r="H316" t="s">
        <v>78</v>
      </c>
    </row>
    <row r="317" spans="1:8">
      <c r="A317" t="s">
        <v>387</v>
      </c>
      <c r="B317" s="3">
        <v>46038.333333333336</v>
      </c>
      <c r="C317" t="s">
        <v>50</v>
      </c>
      <c r="D317">
        <v>9</v>
      </c>
      <c r="E317">
        <v>77</v>
      </c>
      <c r="F317">
        <v>5.2</v>
      </c>
      <c r="G317">
        <v>10.7</v>
      </c>
      <c r="H317" t="s">
        <v>70</v>
      </c>
    </row>
    <row r="318" spans="1:8">
      <c r="A318" t="s">
        <v>388</v>
      </c>
      <c r="B318" s="3">
        <v>46038.333333333336</v>
      </c>
      <c r="C318" t="s">
        <v>52</v>
      </c>
      <c r="D318">
        <v>6</v>
      </c>
      <c r="E318">
        <v>68</v>
      </c>
      <c r="F318">
        <v>3.5</v>
      </c>
      <c r="G318">
        <v>8.4</v>
      </c>
      <c r="H318" t="s">
        <v>70</v>
      </c>
    </row>
    <row r="319" spans="1:8">
      <c r="A319" t="s">
        <v>389</v>
      </c>
      <c r="B319" s="3">
        <v>46038.333333333336</v>
      </c>
      <c r="C319" t="s">
        <v>55</v>
      </c>
      <c r="D319">
        <v>9</v>
      </c>
      <c r="E319">
        <v>61</v>
      </c>
      <c r="F319">
        <v>6</v>
      </c>
      <c r="G319">
        <v>11.6</v>
      </c>
      <c r="H319" t="s">
        <v>70</v>
      </c>
    </row>
    <row r="320" spans="1:8">
      <c r="A320" t="s">
        <v>390</v>
      </c>
      <c r="B320" s="3">
        <v>46038.333333333336</v>
      </c>
      <c r="C320" t="s">
        <v>57</v>
      </c>
      <c r="D320">
        <v>9</v>
      </c>
      <c r="E320">
        <v>52</v>
      </c>
      <c r="F320">
        <v>3.5</v>
      </c>
      <c r="G320">
        <v>14.6</v>
      </c>
      <c r="H320" t="s">
        <v>70</v>
      </c>
    </row>
    <row r="321" spans="1:8">
      <c r="A321" t="s">
        <v>391</v>
      </c>
      <c r="B321" s="3">
        <v>46038.333333333336</v>
      </c>
      <c r="C321" t="s">
        <v>60</v>
      </c>
      <c r="D321">
        <v>7</v>
      </c>
      <c r="E321">
        <v>45</v>
      </c>
      <c r="F321">
        <v>3.6</v>
      </c>
      <c r="G321">
        <v>10.5</v>
      </c>
      <c r="H321" t="s">
        <v>70</v>
      </c>
    </row>
    <row r="322" spans="1:8">
      <c r="A322" t="s">
        <v>392</v>
      </c>
      <c r="B322" s="3">
        <v>46039.333333333336</v>
      </c>
      <c r="C322" t="s">
        <v>8</v>
      </c>
      <c r="D322">
        <v>8</v>
      </c>
      <c r="E322">
        <v>74</v>
      </c>
      <c r="F322">
        <v>5.0999999999999996</v>
      </c>
      <c r="G322">
        <v>14.5</v>
      </c>
      <c r="H322" t="s">
        <v>70</v>
      </c>
    </row>
    <row r="323" spans="1:8">
      <c r="A323" t="s">
        <v>393</v>
      </c>
      <c r="B323" s="3">
        <v>46039.333333333336</v>
      </c>
      <c r="C323" t="s">
        <v>13</v>
      </c>
      <c r="D323">
        <v>9</v>
      </c>
      <c r="E323">
        <v>65</v>
      </c>
      <c r="F323">
        <v>4</v>
      </c>
      <c r="G323">
        <v>8.4</v>
      </c>
      <c r="H323" t="s">
        <v>70</v>
      </c>
    </row>
    <row r="324" spans="1:8">
      <c r="A324" t="s">
        <v>394</v>
      </c>
      <c r="B324" s="3">
        <v>46039.333333333336</v>
      </c>
      <c r="C324" t="s">
        <v>15</v>
      </c>
      <c r="D324">
        <v>7</v>
      </c>
      <c r="E324">
        <v>71</v>
      </c>
      <c r="F324">
        <v>5.3</v>
      </c>
      <c r="G324">
        <v>9.6</v>
      </c>
      <c r="H324" t="s">
        <v>70</v>
      </c>
    </row>
    <row r="325" spans="1:8">
      <c r="A325" t="s">
        <v>395</v>
      </c>
      <c r="B325" s="3">
        <v>46039.333333333336</v>
      </c>
      <c r="C325" t="s">
        <v>18</v>
      </c>
      <c r="D325">
        <v>10</v>
      </c>
      <c r="E325">
        <v>75</v>
      </c>
      <c r="F325">
        <v>4.4000000000000004</v>
      </c>
      <c r="G325">
        <v>9.1</v>
      </c>
      <c r="H325" t="s">
        <v>70</v>
      </c>
    </row>
    <row r="326" spans="1:8">
      <c r="A326" t="s">
        <v>396</v>
      </c>
      <c r="B326" s="3">
        <v>46039.333333333336</v>
      </c>
      <c r="C326" t="s">
        <v>20</v>
      </c>
      <c r="D326">
        <v>9</v>
      </c>
      <c r="E326">
        <v>62</v>
      </c>
      <c r="F326">
        <v>5.4</v>
      </c>
      <c r="G326">
        <v>15.9</v>
      </c>
      <c r="H326" t="s">
        <v>70</v>
      </c>
    </row>
    <row r="327" spans="1:8">
      <c r="A327" t="s">
        <v>397</v>
      </c>
      <c r="B327" s="3">
        <v>46039.333333333336</v>
      </c>
      <c r="C327" t="s">
        <v>24</v>
      </c>
      <c r="D327">
        <v>8</v>
      </c>
      <c r="E327">
        <v>64</v>
      </c>
      <c r="F327">
        <v>6</v>
      </c>
      <c r="G327">
        <v>9.8000000000000007</v>
      </c>
      <c r="H327" t="s">
        <v>70</v>
      </c>
    </row>
    <row r="328" spans="1:8">
      <c r="A328" t="s">
        <v>398</v>
      </c>
      <c r="B328" s="3">
        <v>46039.333333333336</v>
      </c>
      <c r="C328" t="s">
        <v>26</v>
      </c>
      <c r="D328">
        <v>10</v>
      </c>
      <c r="E328">
        <v>71</v>
      </c>
      <c r="F328">
        <v>4.0999999999999996</v>
      </c>
      <c r="G328">
        <v>12.8</v>
      </c>
      <c r="H328" t="s">
        <v>70</v>
      </c>
    </row>
    <row r="329" spans="1:8">
      <c r="A329" t="s">
        <v>399</v>
      </c>
      <c r="B329" s="3">
        <v>46039.333333333336</v>
      </c>
      <c r="C329" t="s">
        <v>28</v>
      </c>
      <c r="D329">
        <v>9</v>
      </c>
      <c r="E329">
        <v>94</v>
      </c>
      <c r="F329">
        <v>8</v>
      </c>
      <c r="G329">
        <v>18.5</v>
      </c>
      <c r="H329" t="s">
        <v>78</v>
      </c>
    </row>
    <row r="330" spans="1:8">
      <c r="A330" t="s">
        <v>400</v>
      </c>
      <c r="B330" s="3">
        <v>46039.333333333336</v>
      </c>
      <c r="C330" t="s">
        <v>31</v>
      </c>
      <c r="D330">
        <v>10</v>
      </c>
      <c r="E330">
        <v>80</v>
      </c>
      <c r="F330">
        <v>5.5</v>
      </c>
      <c r="G330">
        <v>8</v>
      </c>
      <c r="H330" t="s">
        <v>70</v>
      </c>
    </row>
    <row r="331" spans="1:8">
      <c r="A331" t="s">
        <v>401</v>
      </c>
      <c r="B331" s="3">
        <v>46039.333333333336</v>
      </c>
      <c r="C331" t="s">
        <v>33</v>
      </c>
      <c r="D331">
        <v>6</v>
      </c>
      <c r="E331">
        <v>62</v>
      </c>
      <c r="F331">
        <v>3.2</v>
      </c>
      <c r="G331">
        <v>14.7</v>
      </c>
      <c r="H331" t="s">
        <v>70</v>
      </c>
    </row>
    <row r="332" spans="1:8">
      <c r="A332" t="s">
        <v>402</v>
      </c>
      <c r="B332" s="3">
        <v>46039.333333333336</v>
      </c>
      <c r="C332" t="s">
        <v>36</v>
      </c>
      <c r="D332">
        <v>9</v>
      </c>
      <c r="E332">
        <v>61</v>
      </c>
      <c r="F332">
        <v>3.7</v>
      </c>
      <c r="G332">
        <v>11.9</v>
      </c>
      <c r="H332" t="s">
        <v>70</v>
      </c>
    </row>
    <row r="333" spans="1:8">
      <c r="A333" t="s">
        <v>403</v>
      </c>
      <c r="B333" s="3">
        <v>46039.333333333336</v>
      </c>
      <c r="C333" t="s">
        <v>38</v>
      </c>
      <c r="D333">
        <v>8</v>
      </c>
      <c r="E333">
        <v>58</v>
      </c>
      <c r="F333">
        <v>3.7</v>
      </c>
      <c r="G333">
        <v>14.9</v>
      </c>
      <c r="H333" t="s">
        <v>70</v>
      </c>
    </row>
    <row r="334" spans="1:8">
      <c r="A334" t="s">
        <v>404</v>
      </c>
      <c r="B334" s="3">
        <v>46039.333333333336</v>
      </c>
      <c r="C334" t="s">
        <v>42</v>
      </c>
      <c r="D334">
        <v>6</v>
      </c>
      <c r="E334">
        <v>86</v>
      </c>
      <c r="F334">
        <v>8.6999999999999993</v>
      </c>
      <c r="G334">
        <v>14.4</v>
      </c>
      <c r="H334" t="s">
        <v>78</v>
      </c>
    </row>
    <row r="335" spans="1:8">
      <c r="A335" t="s">
        <v>405</v>
      </c>
      <c r="B335" s="3">
        <v>46039.333333333336</v>
      </c>
      <c r="C335" t="s">
        <v>45</v>
      </c>
      <c r="D335">
        <v>6</v>
      </c>
      <c r="E335">
        <v>66</v>
      </c>
      <c r="F335">
        <v>4.5999999999999996</v>
      </c>
      <c r="G335">
        <v>15.2</v>
      </c>
      <c r="H335" t="s">
        <v>70</v>
      </c>
    </row>
    <row r="336" spans="1:8">
      <c r="A336" t="s">
        <v>406</v>
      </c>
      <c r="B336" s="3">
        <v>46039.333333333336</v>
      </c>
      <c r="C336" t="s">
        <v>47</v>
      </c>
      <c r="D336">
        <v>9</v>
      </c>
      <c r="E336">
        <v>91</v>
      </c>
      <c r="F336">
        <v>7.2</v>
      </c>
      <c r="G336">
        <v>21.7</v>
      </c>
      <c r="H336" t="s">
        <v>78</v>
      </c>
    </row>
    <row r="337" spans="1:8">
      <c r="A337" t="s">
        <v>407</v>
      </c>
      <c r="B337" s="3">
        <v>46039.333333333336</v>
      </c>
      <c r="C337" t="s">
        <v>50</v>
      </c>
      <c r="D337">
        <v>7</v>
      </c>
      <c r="E337">
        <v>79</v>
      </c>
      <c r="F337">
        <v>3.7</v>
      </c>
      <c r="G337">
        <v>13.2</v>
      </c>
      <c r="H337" t="s">
        <v>70</v>
      </c>
    </row>
    <row r="338" spans="1:8">
      <c r="A338" t="s">
        <v>408</v>
      </c>
      <c r="B338" s="3">
        <v>46039.333333333336</v>
      </c>
      <c r="C338" t="s">
        <v>52</v>
      </c>
      <c r="D338">
        <v>7</v>
      </c>
      <c r="E338">
        <v>68</v>
      </c>
      <c r="F338">
        <v>4.0999999999999996</v>
      </c>
      <c r="G338">
        <v>8.6</v>
      </c>
      <c r="H338" t="s">
        <v>70</v>
      </c>
    </row>
    <row r="339" spans="1:8">
      <c r="A339" t="s">
        <v>409</v>
      </c>
      <c r="B339" s="3">
        <v>46039.333333333336</v>
      </c>
      <c r="C339" t="s">
        <v>55</v>
      </c>
      <c r="D339">
        <v>7</v>
      </c>
      <c r="E339">
        <v>66</v>
      </c>
      <c r="F339">
        <v>5.6</v>
      </c>
      <c r="G339">
        <v>9.6</v>
      </c>
      <c r="H339" t="s">
        <v>70</v>
      </c>
    </row>
    <row r="340" spans="1:8">
      <c r="A340" t="s">
        <v>410</v>
      </c>
      <c r="B340" s="3">
        <v>46039.333333333336</v>
      </c>
      <c r="C340" t="s">
        <v>57</v>
      </c>
      <c r="D340">
        <v>10</v>
      </c>
      <c r="E340">
        <v>54</v>
      </c>
      <c r="F340">
        <v>5.5</v>
      </c>
      <c r="G340">
        <v>15.3</v>
      </c>
      <c r="H340" t="s">
        <v>70</v>
      </c>
    </row>
    <row r="341" spans="1:8">
      <c r="A341" t="s">
        <v>411</v>
      </c>
      <c r="B341" s="3">
        <v>46039.333333333336</v>
      </c>
      <c r="C341" t="s">
        <v>60</v>
      </c>
      <c r="D341">
        <v>9</v>
      </c>
      <c r="E341">
        <v>52</v>
      </c>
      <c r="F341">
        <v>3.4</v>
      </c>
      <c r="G341">
        <v>11.3</v>
      </c>
      <c r="H341" t="s">
        <v>70</v>
      </c>
    </row>
    <row r="342" spans="1:8">
      <c r="A342" t="s">
        <v>412</v>
      </c>
      <c r="B342" s="3">
        <v>46040.333333333336</v>
      </c>
      <c r="C342" t="s">
        <v>8</v>
      </c>
      <c r="D342">
        <v>10</v>
      </c>
      <c r="E342">
        <v>65</v>
      </c>
      <c r="F342">
        <v>3.3</v>
      </c>
      <c r="G342">
        <v>15.7</v>
      </c>
      <c r="H342" t="s">
        <v>70</v>
      </c>
    </row>
    <row r="343" spans="1:8">
      <c r="A343" t="s">
        <v>413</v>
      </c>
      <c r="B343" s="3">
        <v>46040.333333333336</v>
      </c>
      <c r="C343" t="s">
        <v>13</v>
      </c>
      <c r="D343">
        <v>10</v>
      </c>
      <c r="E343">
        <v>66</v>
      </c>
      <c r="F343">
        <v>3.4</v>
      </c>
      <c r="G343">
        <v>15.5</v>
      </c>
      <c r="H343" t="s">
        <v>70</v>
      </c>
    </row>
    <row r="344" spans="1:8">
      <c r="A344" t="s">
        <v>414</v>
      </c>
      <c r="B344" s="3">
        <v>46040.333333333336</v>
      </c>
      <c r="C344" t="s">
        <v>15</v>
      </c>
      <c r="D344">
        <v>7</v>
      </c>
      <c r="E344">
        <v>80</v>
      </c>
      <c r="F344">
        <v>4.0999999999999996</v>
      </c>
      <c r="G344">
        <v>8.1</v>
      </c>
      <c r="H344" t="s">
        <v>70</v>
      </c>
    </row>
    <row r="345" spans="1:8">
      <c r="A345" t="s">
        <v>415</v>
      </c>
      <c r="B345" s="3">
        <v>46040.333333333336</v>
      </c>
      <c r="C345" t="s">
        <v>18</v>
      </c>
      <c r="D345">
        <v>7</v>
      </c>
      <c r="E345">
        <v>78</v>
      </c>
      <c r="F345">
        <v>5.7</v>
      </c>
      <c r="G345">
        <v>9.8000000000000007</v>
      </c>
      <c r="H345" t="s">
        <v>70</v>
      </c>
    </row>
    <row r="346" spans="1:8">
      <c r="A346" t="s">
        <v>416</v>
      </c>
      <c r="B346" s="3">
        <v>46040.333333333336</v>
      </c>
      <c r="C346" t="s">
        <v>20</v>
      </c>
      <c r="D346">
        <v>7</v>
      </c>
      <c r="E346">
        <v>65</v>
      </c>
      <c r="F346">
        <v>5.6</v>
      </c>
      <c r="G346">
        <v>8.1999999999999993</v>
      </c>
      <c r="H346" t="s">
        <v>70</v>
      </c>
    </row>
    <row r="347" spans="1:8">
      <c r="A347" t="s">
        <v>417</v>
      </c>
      <c r="B347" s="3">
        <v>46040.333333333336</v>
      </c>
      <c r="C347" t="s">
        <v>24</v>
      </c>
      <c r="D347">
        <v>10</v>
      </c>
      <c r="E347">
        <v>70</v>
      </c>
      <c r="F347">
        <v>6.4</v>
      </c>
      <c r="G347">
        <v>14.3</v>
      </c>
      <c r="H347" t="s">
        <v>70</v>
      </c>
    </row>
    <row r="348" spans="1:8">
      <c r="A348" t="s">
        <v>418</v>
      </c>
      <c r="B348" s="3">
        <v>46040.333333333336</v>
      </c>
      <c r="C348" t="s">
        <v>26</v>
      </c>
      <c r="D348">
        <v>9</v>
      </c>
      <c r="E348">
        <v>71</v>
      </c>
      <c r="F348">
        <v>5.4</v>
      </c>
      <c r="G348">
        <v>9.4</v>
      </c>
      <c r="H348" t="s">
        <v>70</v>
      </c>
    </row>
    <row r="349" spans="1:8">
      <c r="A349" t="s">
        <v>419</v>
      </c>
      <c r="B349" s="3">
        <v>46040.333333333336</v>
      </c>
      <c r="C349" t="s">
        <v>28</v>
      </c>
      <c r="D349">
        <v>6</v>
      </c>
      <c r="E349">
        <v>92</v>
      </c>
      <c r="F349">
        <v>7.1</v>
      </c>
      <c r="G349">
        <v>19</v>
      </c>
      <c r="H349" t="s">
        <v>84</v>
      </c>
    </row>
    <row r="350" spans="1:8">
      <c r="A350" t="s">
        <v>420</v>
      </c>
      <c r="B350" s="3">
        <v>46040.333333333336</v>
      </c>
      <c r="C350" t="s">
        <v>31</v>
      </c>
      <c r="D350">
        <v>8</v>
      </c>
      <c r="E350">
        <v>76</v>
      </c>
      <c r="F350">
        <v>4</v>
      </c>
      <c r="G350">
        <v>9.8000000000000007</v>
      </c>
      <c r="H350" t="s">
        <v>70</v>
      </c>
    </row>
    <row r="351" spans="1:8">
      <c r="A351" t="s">
        <v>421</v>
      </c>
      <c r="B351" s="3">
        <v>46040.333333333336</v>
      </c>
      <c r="C351" t="s">
        <v>33</v>
      </c>
      <c r="D351">
        <v>9</v>
      </c>
      <c r="E351">
        <v>60</v>
      </c>
      <c r="F351">
        <v>4</v>
      </c>
      <c r="G351">
        <v>11.7</v>
      </c>
      <c r="H351" t="s">
        <v>70</v>
      </c>
    </row>
    <row r="352" spans="1:8">
      <c r="A352" t="s">
        <v>422</v>
      </c>
      <c r="B352" s="3">
        <v>46040.333333333336</v>
      </c>
      <c r="C352" t="s">
        <v>36</v>
      </c>
      <c r="D352">
        <v>9</v>
      </c>
      <c r="E352">
        <v>65</v>
      </c>
      <c r="F352">
        <v>4</v>
      </c>
      <c r="G352">
        <v>11.8</v>
      </c>
      <c r="H352" t="s">
        <v>70</v>
      </c>
    </row>
    <row r="353" spans="1:8">
      <c r="A353" t="s">
        <v>423</v>
      </c>
      <c r="B353" s="3">
        <v>46040.333333333336</v>
      </c>
      <c r="C353" t="s">
        <v>38</v>
      </c>
      <c r="D353">
        <v>6</v>
      </c>
      <c r="E353">
        <v>61</v>
      </c>
      <c r="F353">
        <v>4.7</v>
      </c>
      <c r="G353">
        <v>11.1</v>
      </c>
      <c r="H353" t="s">
        <v>70</v>
      </c>
    </row>
    <row r="354" spans="1:8">
      <c r="A354" t="s">
        <v>424</v>
      </c>
      <c r="B354" s="3">
        <v>46040.333333333336</v>
      </c>
      <c r="C354" t="s">
        <v>42</v>
      </c>
      <c r="D354">
        <v>10</v>
      </c>
      <c r="E354">
        <v>87</v>
      </c>
      <c r="F354">
        <v>7.9</v>
      </c>
      <c r="G354">
        <v>18.399999999999999</v>
      </c>
      <c r="H354" t="s">
        <v>78</v>
      </c>
    </row>
    <row r="355" spans="1:8">
      <c r="A355" t="s">
        <v>425</v>
      </c>
      <c r="B355" s="3">
        <v>46040.333333333336</v>
      </c>
      <c r="C355" t="s">
        <v>45</v>
      </c>
      <c r="D355">
        <v>8</v>
      </c>
      <c r="E355">
        <v>67</v>
      </c>
      <c r="F355">
        <v>4.7</v>
      </c>
      <c r="G355">
        <v>12.7</v>
      </c>
      <c r="H355" t="s">
        <v>70</v>
      </c>
    </row>
    <row r="356" spans="1:8">
      <c r="A356" t="s">
        <v>426</v>
      </c>
      <c r="B356" s="3">
        <v>46040.333333333336</v>
      </c>
      <c r="C356" t="s">
        <v>47</v>
      </c>
      <c r="D356">
        <v>6</v>
      </c>
      <c r="E356">
        <v>87</v>
      </c>
      <c r="F356">
        <v>6.6</v>
      </c>
      <c r="G356">
        <v>17.899999999999999</v>
      </c>
      <c r="H356" t="s">
        <v>84</v>
      </c>
    </row>
    <row r="357" spans="1:8">
      <c r="A357" t="s">
        <v>427</v>
      </c>
      <c r="B357" s="3">
        <v>46040.333333333336</v>
      </c>
      <c r="C357" t="s">
        <v>50</v>
      </c>
      <c r="D357">
        <v>6</v>
      </c>
      <c r="E357">
        <v>80</v>
      </c>
      <c r="F357">
        <v>5.7</v>
      </c>
      <c r="G357">
        <v>13.6</v>
      </c>
      <c r="H357" t="s">
        <v>70</v>
      </c>
    </row>
    <row r="358" spans="1:8">
      <c r="A358" t="s">
        <v>428</v>
      </c>
      <c r="B358" s="3">
        <v>46040.333333333336</v>
      </c>
      <c r="C358" t="s">
        <v>52</v>
      </c>
      <c r="D358">
        <v>6</v>
      </c>
      <c r="E358">
        <v>60</v>
      </c>
      <c r="F358">
        <v>4.0999999999999996</v>
      </c>
      <c r="G358">
        <v>15</v>
      </c>
      <c r="H358" t="s">
        <v>70</v>
      </c>
    </row>
    <row r="359" spans="1:8">
      <c r="A359" t="s">
        <v>429</v>
      </c>
      <c r="B359" s="3">
        <v>46040.333333333336</v>
      </c>
      <c r="C359" t="s">
        <v>55</v>
      </c>
      <c r="D359">
        <v>10</v>
      </c>
      <c r="E359">
        <v>63</v>
      </c>
      <c r="F359">
        <v>4.2</v>
      </c>
      <c r="G359">
        <v>14.2</v>
      </c>
      <c r="H359" t="s">
        <v>70</v>
      </c>
    </row>
    <row r="360" spans="1:8">
      <c r="A360" t="s">
        <v>430</v>
      </c>
      <c r="B360" s="3">
        <v>46040.333333333336</v>
      </c>
      <c r="C360" t="s">
        <v>57</v>
      </c>
      <c r="D360">
        <v>10</v>
      </c>
      <c r="E360">
        <v>47</v>
      </c>
      <c r="F360">
        <v>3.9</v>
      </c>
      <c r="G360">
        <v>15.8</v>
      </c>
      <c r="H360" t="s">
        <v>70</v>
      </c>
    </row>
    <row r="361" spans="1:8">
      <c r="A361" t="s">
        <v>431</v>
      </c>
      <c r="B361" s="3">
        <v>46040.333333333336</v>
      </c>
      <c r="C361" t="s">
        <v>60</v>
      </c>
      <c r="D361">
        <v>10</v>
      </c>
      <c r="E361">
        <v>52</v>
      </c>
      <c r="F361">
        <v>5.6</v>
      </c>
      <c r="G361">
        <v>11.3</v>
      </c>
      <c r="H361" t="s">
        <v>70</v>
      </c>
    </row>
    <row r="362" spans="1:8">
      <c r="A362" t="s">
        <v>432</v>
      </c>
      <c r="B362" s="3">
        <v>46041.333333333336</v>
      </c>
      <c r="C362" t="s">
        <v>8</v>
      </c>
      <c r="D362">
        <v>10</v>
      </c>
      <c r="E362">
        <v>72</v>
      </c>
      <c r="F362">
        <v>5.7</v>
      </c>
      <c r="G362">
        <v>9.4</v>
      </c>
      <c r="H362" t="s">
        <v>70</v>
      </c>
    </row>
    <row r="363" spans="1:8">
      <c r="A363" t="s">
        <v>433</v>
      </c>
      <c r="B363" s="3">
        <v>46041.333333333336</v>
      </c>
      <c r="C363" t="s">
        <v>13</v>
      </c>
      <c r="D363">
        <v>8</v>
      </c>
      <c r="E363">
        <v>65</v>
      </c>
      <c r="F363">
        <v>5.5</v>
      </c>
      <c r="G363">
        <v>13.2</v>
      </c>
      <c r="H363" t="s">
        <v>70</v>
      </c>
    </row>
    <row r="364" spans="1:8">
      <c r="A364" t="s">
        <v>434</v>
      </c>
      <c r="B364" s="3">
        <v>46041.333333333336</v>
      </c>
      <c r="C364" t="s">
        <v>15</v>
      </c>
      <c r="D364">
        <v>7</v>
      </c>
      <c r="E364">
        <v>77</v>
      </c>
      <c r="F364">
        <v>4.5999999999999996</v>
      </c>
      <c r="G364">
        <v>10.3</v>
      </c>
      <c r="H364" t="s">
        <v>70</v>
      </c>
    </row>
    <row r="365" spans="1:8">
      <c r="A365" t="s">
        <v>435</v>
      </c>
      <c r="B365" s="3">
        <v>46041.333333333336</v>
      </c>
      <c r="C365" t="s">
        <v>18</v>
      </c>
      <c r="D365">
        <v>8</v>
      </c>
      <c r="E365">
        <v>72</v>
      </c>
      <c r="F365">
        <v>5.4</v>
      </c>
      <c r="G365">
        <v>9.1999999999999993</v>
      </c>
      <c r="H365" t="s">
        <v>70</v>
      </c>
    </row>
    <row r="366" spans="1:8">
      <c r="A366" t="s">
        <v>436</v>
      </c>
      <c r="B366" s="3">
        <v>46041.333333333336</v>
      </c>
      <c r="C366" t="s">
        <v>20</v>
      </c>
      <c r="D366">
        <v>6</v>
      </c>
      <c r="E366">
        <v>70</v>
      </c>
      <c r="F366">
        <v>4.5</v>
      </c>
      <c r="G366">
        <v>15.2</v>
      </c>
      <c r="H366" t="s">
        <v>70</v>
      </c>
    </row>
    <row r="367" spans="1:8">
      <c r="A367" t="s">
        <v>437</v>
      </c>
      <c r="B367" s="3">
        <v>46041.333333333336</v>
      </c>
      <c r="C367" t="s">
        <v>24</v>
      </c>
      <c r="D367">
        <v>8</v>
      </c>
      <c r="E367">
        <v>62</v>
      </c>
      <c r="F367">
        <v>5.6</v>
      </c>
      <c r="G367">
        <v>15.3</v>
      </c>
      <c r="H367" t="s">
        <v>70</v>
      </c>
    </row>
    <row r="368" spans="1:8">
      <c r="A368" t="s">
        <v>438</v>
      </c>
      <c r="B368" s="3">
        <v>46041.333333333336</v>
      </c>
      <c r="C368" t="s">
        <v>26</v>
      </c>
      <c r="D368">
        <v>9</v>
      </c>
      <c r="E368">
        <v>72</v>
      </c>
      <c r="F368">
        <v>4.2</v>
      </c>
      <c r="G368">
        <v>13.2</v>
      </c>
      <c r="H368" t="s">
        <v>70</v>
      </c>
    </row>
    <row r="369" spans="1:8">
      <c r="A369" t="s">
        <v>439</v>
      </c>
      <c r="B369" s="3">
        <v>46041.333333333336</v>
      </c>
      <c r="C369" t="s">
        <v>28</v>
      </c>
      <c r="D369">
        <v>8</v>
      </c>
      <c r="E369">
        <v>94</v>
      </c>
      <c r="F369">
        <v>9.4</v>
      </c>
      <c r="G369">
        <v>15.3</v>
      </c>
      <c r="H369" t="s">
        <v>78</v>
      </c>
    </row>
    <row r="370" spans="1:8">
      <c r="A370" t="s">
        <v>440</v>
      </c>
      <c r="B370" s="3">
        <v>46041.333333333336</v>
      </c>
      <c r="C370" t="s">
        <v>31</v>
      </c>
      <c r="D370">
        <v>8</v>
      </c>
      <c r="E370">
        <v>85</v>
      </c>
      <c r="F370">
        <v>6.4</v>
      </c>
      <c r="G370">
        <v>13.2</v>
      </c>
      <c r="H370" t="s">
        <v>70</v>
      </c>
    </row>
    <row r="371" spans="1:8">
      <c r="A371" t="s">
        <v>441</v>
      </c>
      <c r="B371" s="3">
        <v>46041.333333333336</v>
      </c>
      <c r="C371" t="s">
        <v>33</v>
      </c>
      <c r="D371">
        <v>6</v>
      </c>
      <c r="E371">
        <v>63</v>
      </c>
      <c r="F371">
        <v>4.5999999999999996</v>
      </c>
      <c r="G371">
        <v>14.2</v>
      </c>
      <c r="H371" t="s">
        <v>70</v>
      </c>
    </row>
    <row r="372" spans="1:8">
      <c r="A372" t="s">
        <v>442</v>
      </c>
      <c r="B372" s="3">
        <v>46041.333333333336</v>
      </c>
      <c r="C372" t="s">
        <v>36</v>
      </c>
      <c r="D372">
        <v>7</v>
      </c>
      <c r="E372">
        <v>55</v>
      </c>
      <c r="F372">
        <v>4</v>
      </c>
      <c r="G372">
        <v>9.8000000000000007</v>
      </c>
      <c r="H372" t="s">
        <v>70</v>
      </c>
    </row>
    <row r="373" spans="1:8">
      <c r="A373" t="s">
        <v>443</v>
      </c>
      <c r="B373" s="3">
        <v>46041.333333333336</v>
      </c>
      <c r="C373" t="s">
        <v>38</v>
      </c>
      <c r="D373">
        <v>8</v>
      </c>
      <c r="E373">
        <v>65</v>
      </c>
      <c r="F373">
        <v>4.7</v>
      </c>
      <c r="G373">
        <v>12.3</v>
      </c>
      <c r="H373" t="s">
        <v>70</v>
      </c>
    </row>
    <row r="374" spans="1:8">
      <c r="A374" t="s">
        <v>444</v>
      </c>
      <c r="B374" s="3">
        <v>46041.333333333336</v>
      </c>
      <c r="C374" t="s">
        <v>42</v>
      </c>
      <c r="D374">
        <v>7</v>
      </c>
      <c r="E374">
        <v>79</v>
      </c>
      <c r="F374">
        <v>6.7</v>
      </c>
      <c r="G374">
        <v>14.2</v>
      </c>
      <c r="H374" t="s">
        <v>70</v>
      </c>
    </row>
    <row r="375" spans="1:8">
      <c r="A375" t="s">
        <v>445</v>
      </c>
      <c r="B375" s="3">
        <v>46041.333333333336</v>
      </c>
      <c r="C375" t="s">
        <v>45</v>
      </c>
      <c r="D375">
        <v>9</v>
      </c>
      <c r="E375">
        <v>68</v>
      </c>
      <c r="F375">
        <v>5.9</v>
      </c>
      <c r="G375">
        <v>14.9</v>
      </c>
      <c r="H375" t="s">
        <v>70</v>
      </c>
    </row>
    <row r="376" spans="1:8">
      <c r="A376" t="s">
        <v>446</v>
      </c>
      <c r="B376" s="3">
        <v>46041.333333333336</v>
      </c>
      <c r="C376" t="s">
        <v>47</v>
      </c>
      <c r="D376">
        <v>6</v>
      </c>
      <c r="E376">
        <v>84</v>
      </c>
      <c r="F376">
        <v>6.5</v>
      </c>
      <c r="G376">
        <v>20.9</v>
      </c>
      <c r="H376" t="s">
        <v>70</v>
      </c>
    </row>
    <row r="377" spans="1:8">
      <c r="A377" t="s">
        <v>447</v>
      </c>
      <c r="B377" s="3">
        <v>46041.333333333336</v>
      </c>
      <c r="C377" t="s">
        <v>50</v>
      </c>
      <c r="D377">
        <v>10</v>
      </c>
      <c r="E377">
        <v>74</v>
      </c>
      <c r="F377">
        <v>3.6</v>
      </c>
      <c r="G377">
        <v>9.9</v>
      </c>
      <c r="H377" t="s">
        <v>70</v>
      </c>
    </row>
    <row r="378" spans="1:8">
      <c r="A378" t="s">
        <v>448</v>
      </c>
      <c r="B378" s="3">
        <v>46041.333333333336</v>
      </c>
      <c r="C378" t="s">
        <v>52</v>
      </c>
      <c r="D378">
        <v>6</v>
      </c>
      <c r="E378">
        <v>64</v>
      </c>
      <c r="F378">
        <v>6</v>
      </c>
      <c r="G378">
        <v>12.7</v>
      </c>
      <c r="H378" t="s">
        <v>70</v>
      </c>
    </row>
    <row r="379" spans="1:8">
      <c r="A379" t="s">
        <v>449</v>
      </c>
      <c r="B379" s="3">
        <v>46041.333333333336</v>
      </c>
      <c r="C379" t="s">
        <v>55</v>
      </c>
      <c r="D379">
        <v>6</v>
      </c>
      <c r="E379">
        <v>66</v>
      </c>
      <c r="F379">
        <v>4.8</v>
      </c>
      <c r="G379">
        <v>12.5</v>
      </c>
      <c r="H379" t="s">
        <v>70</v>
      </c>
    </row>
    <row r="380" spans="1:8">
      <c r="A380" t="s">
        <v>450</v>
      </c>
      <c r="B380" s="3">
        <v>46041.333333333336</v>
      </c>
      <c r="C380" t="s">
        <v>57</v>
      </c>
      <c r="D380">
        <v>8</v>
      </c>
      <c r="E380">
        <v>48</v>
      </c>
      <c r="F380">
        <v>3.3</v>
      </c>
      <c r="G380">
        <v>8.4</v>
      </c>
      <c r="H380" t="s">
        <v>70</v>
      </c>
    </row>
    <row r="381" spans="1:8">
      <c r="A381" t="s">
        <v>451</v>
      </c>
      <c r="B381" s="3">
        <v>46041.333333333336</v>
      </c>
      <c r="C381" t="s">
        <v>60</v>
      </c>
      <c r="D381">
        <v>9</v>
      </c>
      <c r="E381">
        <v>55</v>
      </c>
      <c r="F381">
        <v>3.3</v>
      </c>
      <c r="G381">
        <v>9.4</v>
      </c>
      <c r="H381" t="s">
        <v>70</v>
      </c>
    </row>
    <row r="382" spans="1:8">
      <c r="A382" t="s">
        <v>452</v>
      </c>
      <c r="B382" s="3">
        <v>46042.333333333336</v>
      </c>
      <c r="C382" t="s">
        <v>8</v>
      </c>
      <c r="D382">
        <v>6</v>
      </c>
      <c r="E382">
        <v>67</v>
      </c>
      <c r="F382">
        <v>4.7</v>
      </c>
      <c r="G382">
        <v>15.5</v>
      </c>
      <c r="H382" t="s">
        <v>70</v>
      </c>
    </row>
    <row r="383" spans="1:8">
      <c r="A383" t="s">
        <v>453</v>
      </c>
      <c r="B383" s="3">
        <v>46042.333333333336</v>
      </c>
      <c r="C383" t="s">
        <v>13</v>
      </c>
      <c r="D383">
        <v>9</v>
      </c>
      <c r="E383">
        <v>71</v>
      </c>
      <c r="F383">
        <v>3.4</v>
      </c>
      <c r="G383">
        <v>9.1</v>
      </c>
      <c r="H383" t="s">
        <v>70</v>
      </c>
    </row>
    <row r="384" spans="1:8">
      <c r="A384" t="s">
        <v>454</v>
      </c>
      <c r="B384" s="3">
        <v>46042.333333333336</v>
      </c>
      <c r="C384" t="s">
        <v>15</v>
      </c>
      <c r="D384">
        <v>7</v>
      </c>
      <c r="E384">
        <v>79</v>
      </c>
      <c r="F384">
        <v>5</v>
      </c>
      <c r="G384">
        <v>10.1</v>
      </c>
      <c r="H384" t="s">
        <v>70</v>
      </c>
    </row>
    <row r="385" spans="1:8">
      <c r="A385" t="s">
        <v>455</v>
      </c>
      <c r="B385" s="3">
        <v>46042.333333333336</v>
      </c>
      <c r="C385" t="s">
        <v>18</v>
      </c>
      <c r="D385">
        <v>7</v>
      </c>
      <c r="E385">
        <v>77</v>
      </c>
      <c r="F385">
        <v>3.9</v>
      </c>
      <c r="G385">
        <v>10.199999999999999</v>
      </c>
      <c r="H385" t="s">
        <v>70</v>
      </c>
    </row>
    <row r="386" spans="1:8">
      <c r="A386" t="s">
        <v>456</v>
      </c>
      <c r="B386" s="3">
        <v>46042.333333333336</v>
      </c>
      <c r="C386" t="s">
        <v>20</v>
      </c>
      <c r="D386">
        <v>7</v>
      </c>
      <c r="E386">
        <v>63</v>
      </c>
      <c r="F386">
        <v>5.8</v>
      </c>
      <c r="G386">
        <v>9.3000000000000007</v>
      </c>
      <c r="H386" t="s">
        <v>70</v>
      </c>
    </row>
    <row r="387" spans="1:8">
      <c r="A387" t="s">
        <v>457</v>
      </c>
      <c r="B387" s="3">
        <v>46042.333333333336</v>
      </c>
      <c r="C387" t="s">
        <v>24</v>
      </c>
      <c r="D387">
        <v>7</v>
      </c>
      <c r="E387">
        <v>66</v>
      </c>
      <c r="F387">
        <v>5</v>
      </c>
      <c r="G387">
        <v>9.8000000000000007</v>
      </c>
      <c r="H387" t="s">
        <v>70</v>
      </c>
    </row>
    <row r="388" spans="1:8">
      <c r="A388" t="s">
        <v>458</v>
      </c>
      <c r="B388" s="3">
        <v>46042.333333333336</v>
      </c>
      <c r="C388" t="s">
        <v>26</v>
      </c>
      <c r="D388">
        <v>10</v>
      </c>
      <c r="E388">
        <v>68</v>
      </c>
      <c r="F388">
        <v>5.4</v>
      </c>
      <c r="G388">
        <v>15</v>
      </c>
      <c r="H388" t="s">
        <v>70</v>
      </c>
    </row>
    <row r="389" spans="1:8">
      <c r="A389" t="s">
        <v>459</v>
      </c>
      <c r="B389" s="3">
        <v>46042.333333333336</v>
      </c>
      <c r="C389" t="s">
        <v>28</v>
      </c>
      <c r="D389">
        <v>7</v>
      </c>
      <c r="E389">
        <v>98</v>
      </c>
      <c r="F389">
        <v>9.1999999999999993</v>
      </c>
      <c r="G389">
        <v>16.2</v>
      </c>
      <c r="H389" t="s">
        <v>78</v>
      </c>
    </row>
    <row r="390" spans="1:8">
      <c r="A390" t="s">
        <v>460</v>
      </c>
      <c r="B390" s="3">
        <v>46042.333333333336</v>
      </c>
      <c r="C390" t="s">
        <v>31</v>
      </c>
      <c r="D390">
        <v>9</v>
      </c>
      <c r="E390">
        <v>76</v>
      </c>
      <c r="F390">
        <v>6.6</v>
      </c>
      <c r="G390">
        <v>11.1</v>
      </c>
      <c r="H390" t="s">
        <v>70</v>
      </c>
    </row>
    <row r="391" spans="1:8">
      <c r="A391" t="s">
        <v>461</v>
      </c>
      <c r="B391" s="3">
        <v>46042.333333333336</v>
      </c>
      <c r="C391" t="s">
        <v>33</v>
      </c>
      <c r="D391">
        <v>6</v>
      </c>
      <c r="E391">
        <v>59</v>
      </c>
      <c r="F391">
        <v>3.2</v>
      </c>
      <c r="G391">
        <v>14.8</v>
      </c>
      <c r="H391" t="s">
        <v>70</v>
      </c>
    </row>
    <row r="392" spans="1:8">
      <c r="A392" t="s">
        <v>462</v>
      </c>
      <c r="B392" s="3">
        <v>46042.333333333336</v>
      </c>
      <c r="C392" t="s">
        <v>36</v>
      </c>
      <c r="D392">
        <v>6</v>
      </c>
      <c r="E392">
        <v>56</v>
      </c>
      <c r="F392">
        <v>4.0999999999999996</v>
      </c>
      <c r="G392">
        <v>12.7</v>
      </c>
      <c r="H392" t="s">
        <v>70</v>
      </c>
    </row>
    <row r="393" spans="1:8">
      <c r="A393" t="s">
        <v>463</v>
      </c>
      <c r="B393" s="3">
        <v>46042.333333333336</v>
      </c>
      <c r="C393" t="s">
        <v>38</v>
      </c>
      <c r="D393">
        <v>9</v>
      </c>
      <c r="E393">
        <v>58</v>
      </c>
      <c r="F393">
        <v>5.7</v>
      </c>
      <c r="G393">
        <v>10.6</v>
      </c>
      <c r="H393" t="s">
        <v>70</v>
      </c>
    </row>
    <row r="394" spans="1:8">
      <c r="A394" t="s">
        <v>464</v>
      </c>
      <c r="B394" s="3">
        <v>46042.333333333336</v>
      </c>
      <c r="C394" t="s">
        <v>42</v>
      </c>
      <c r="D394">
        <v>8</v>
      </c>
      <c r="E394">
        <v>81</v>
      </c>
      <c r="F394">
        <v>8.4</v>
      </c>
      <c r="G394">
        <v>20.2</v>
      </c>
      <c r="H394" t="s">
        <v>78</v>
      </c>
    </row>
    <row r="395" spans="1:8">
      <c r="A395" t="s">
        <v>465</v>
      </c>
      <c r="B395" s="3">
        <v>46042.333333333336</v>
      </c>
      <c r="C395" t="s">
        <v>45</v>
      </c>
      <c r="D395">
        <v>7</v>
      </c>
      <c r="E395">
        <v>71</v>
      </c>
      <c r="F395">
        <v>5.4</v>
      </c>
      <c r="G395">
        <v>11.7</v>
      </c>
      <c r="H395" t="s">
        <v>70</v>
      </c>
    </row>
    <row r="396" spans="1:8">
      <c r="A396" t="s">
        <v>466</v>
      </c>
      <c r="B396" s="3">
        <v>46042.333333333336</v>
      </c>
      <c r="C396" t="s">
        <v>47</v>
      </c>
      <c r="D396">
        <v>9</v>
      </c>
      <c r="E396">
        <v>88</v>
      </c>
      <c r="F396">
        <v>6.7</v>
      </c>
      <c r="G396">
        <v>16.5</v>
      </c>
      <c r="H396" t="s">
        <v>84</v>
      </c>
    </row>
    <row r="397" spans="1:8">
      <c r="A397" t="s">
        <v>467</v>
      </c>
      <c r="B397" s="3">
        <v>46042.333333333336</v>
      </c>
      <c r="C397" t="s">
        <v>50</v>
      </c>
      <c r="D397">
        <v>10</v>
      </c>
      <c r="E397">
        <v>79</v>
      </c>
      <c r="F397">
        <v>4</v>
      </c>
      <c r="G397">
        <v>14.6</v>
      </c>
      <c r="H397" t="s">
        <v>70</v>
      </c>
    </row>
    <row r="398" spans="1:8">
      <c r="A398" t="s">
        <v>468</v>
      </c>
      <c r="B398" s="3">
        <v>46042.333333333336</v>
      </c>
      <c r="C398" t="s">
        <v>52</v>
      </c>
      <c r="D398">
        <v>10</v>
      </c>
      <c r="E398">
        <v>62</v>
      </c>
      <c r="F398">
        <v>3.3</v>
      </c>
      <c r="G398">
        <v>8.1</v>
      </c>
      <c r="H398" t="s">
        <v>70</v>
      </c>
    </row>
    <row r="399" spans="1:8">
      <c r="A399" t="s">
        <v>469</v>
      </c>
      <c r="B399" s="3">
        <v>46042.333333333336</v>
      </c>
      <c r="C399" t="s">
        <v>55</v>
      </c>
      <c r="D399">
        <v>7</v>
      </c>
      <c r="E399">
        <v>60</v>
      </c>
      <c r="F399">
        <v>3.5</v>
      </c>
      <c r="G399">
        <v>8.1999999999999993</v>
      </c>
      <c r="H399" t="s">
        <v>70</v>
      </c>
    </row>
    <row r="400" spans="1:8">
      <c r="A400" t="s">
        <v>470</v>
      </c>
      <c r="B400" s="3">
        <v>46042.333333333336</v>
      </c>
      <c r="C400" t="s">
        <v>57</v>
      </c>
      <c r="D400">
        <v>10</v>
      </c>
      <c r="E400">
        <v>50</v>
      </c>
      <c r="F400">
        <v>4.7</v>
      </c>
      <c r="G400">
        <v>12.9</v>
      </c>
      <c r="H400" t="s">
        <v>70</v>
      </c>
    </row>
    <row r="401" spans="1:8">
      <c r="A401" t="s">
        <v>471</v>
      </c>
      <c r="B401" s="3">
        <v>46042.333333333336</v>
      </c>
      <c r="C401" t="s">
        <v>60</v>
      </c>
      <c r="D401">
        <v>8</v>
      </c>
      <c r="E401">
        <v>54</v>
      </c>
      <c r="F401">
        <v>5.9</v>
      </c>
      <c r="G401">
        <v>8.9</v>
      </c>
      <c r="H401" t="s">
        <v>70</v>
      </c>
    </row>
    <row r="402" spans="1:8">
      <c r="A402" t="s">
        <v>472</v>
      </c>
      <c r="B402" s="3">
        <v>46043.333333333336</v>
      </c>
      <c r="C402" t="s">
        <v>8</v>
      </c>
      <c r="D402">
        <v>10</v>
      </c>
      <c r="E402">
        <v>70</v>
      </c>
      <c r="F402">
        <v>4.3</v>
      </c>
      <c r="G402">
        <v>13.9</v>
      </c>
      <c r="H402" t="s">
        <v>70</v>
      </c>
    </row>
    <row r="403" spans="1:8">
      <c r="A403" t="s">
        <v>473</v>
      </c>
      <c r="B403" s="3">
        <v>46043.333333333336</v>
      </c>
      <c r="C403" t="s">
        <v>13</v>
      </c>
      <c r="D403">
        <v>9</v>
      </c>
      <c r="E403">
        <v>66</v>
      </c>
      <c r="F403">
        <v>4.5</v>
      </c>
      <c r="G403">
        <v>13.9</v>
      </c>
      <c r="H403" t="s">
        <v>70</v>
      </c>
    </row>
    <row r="404" spans="1:8">
      <c r="A404" t="s">
        <v>474</v>
      </c>
      <c r="B404" s="3">
        <v>46043.333333333336</v>
      </c>
      <c r="C404" t="s">
        <v>15</v>
      </c>
      <c r="D404">
        <v>8</v>
      </c>
      <c r="E404">
        <v>78</v>
      </c>
      <c r="F404">
        <v>3.4</v>
      </c>
      <c r="G404">
        <v>13.6</v>
      </c>
      <c r="H404" t="s">
        <v>70</v>
      </c>
    </row>
    <row r="405" spans="1:8">
      <c r="A405" t="s">
        <v>475</v>
      </c>
      <c r="B405" s="3">
        <v>46043.333333333336</v>
      </c>
      <c r="C405" t="s">
        <v>18</v>
      </c>
      <c r="D405">
        <v>8</v>
      </c>
      <c r="E405">
        <v>77</v>
      </c>
      <c r="F405">
        <v>5.6</v>
      </c>
      <c r="G405">
        <v>9.3000000000000007</v>
      </c>
      <c r="H405" t="s">
        <v>70</v>
      </c>
    </row>
    <row r="406" spans="1:8">
      <c r="A406" t="s">
        <v>476</v>
      </c>
      <c r="B406" s="3">
        <v>46043.333333333336</v>
      </c>
      <c r="C406" t="s">
        <v>20</v>
      </c>
      <c r="D406">
        <v>9</v>
      </c>
      <c r="E406">
        <v>67</v>
      </c>
      <c r="F406">
        <v>3.7</v>
      </c>
      <c r="G406">
        <v>8.4</v>
      </c>
      <c r="H406" t="s">
        <v>70</v>
      </c>
    </row>
    <row r="407" spans="1:8">
      <c r="A407" t="s">
        <v>477</v>
      </c>
      <c r="B407" s="3">
        <v>46043.333333333336</v>
      </c>
      <c r="C407" t="s">
        <v>24</v>
      </c>
      <c r="D407">
        <v>6</v>
      </c>
      <c r="E407">
        <v>63</v>
      </c>
      <c r="F407">
        <v>4.4000000000000004</v>
      </c>
      <c r="G407">
        <v>14.8</v>
      </c>
      <c r="H407" t="s">
        <v>70</v>
      </c>
    </row>
    <row r="408" spans="1:8">
      <c r="A408" t="s">
        <v>478</v>
      </c>
      <c r="B408" s="3">
        <v>46043.333333333336</v>
      </c>
      <c r="C408" t="s">
        <v>26</v>
      </c>
      <c r="D408">
        <v>7</v>
      </c>
      <c r="E408">
        <v>66</v>
      </c>
      <c r="F408">
        <v>6.4</v>
      </c>
      <c r="G408">
        <v>10.199999999999999</v>
      </c>
      <c r="H408" t="s">
        <v>70</v>
      </c>
    </row>
    <row r="409" spans="1:8">
      <c r="A409" t="s">
        <v>479</v>
      </c>
      <c r="B409" s="3">
        <v>46043.333333333336</v>
      </c>
      <c r="C409" t="s">
        <v>28</v>
      </c>
      <c r="D409">
        <v>6</v>
      </c>
      <c r="E409">
        <v>98</v>
      </c>
      <c r="F409">
        <v>8.4</v>
      </c>
      <c r="G409">
        <v>15.1</v>
      </c>
      <c r="H409" t="s">
        <v>78</v>
      </c>
    </row>
    <row r="410" spans="1:8">
      <c r="A410" t="s">
        <v>480</v>
      </c>
      <c r="B410" s="3">
        <v>46043.333333333336</v>
      </c>
      <c r="C410" t="s">
        <v>31</v>
      </c>
      <c r="D410">
        <v>6</v>
      </c>
      <c r="E410">
        <v>81</v>
      </c>
      <c r="F410">
        <v>6.3</v>
      </c>
      <c r="G410">
        <v>15.6</v>
      </c>
      <c r="H410" t="s">
        <v>70</v>
      </c>
    </row>
    <row r="411" spans="1:8">
      <c r="A411" t="s">
        <v>481</v>
      </c>
      <c r="B411" s="3">
        <v>46043.333333333336</v>
      </c>
      <c r="C411" t="s">
        <v>33</v>
      </c>
      <c r="D411">
        <v>10</v>
      </c>
      <c r="E411">
        <v>62</v>
      </c>
      <c r="F411">
        <v>4.9000000000000004</v>
      </c>
      <c r="G411">
        <v>11.2</v>
      </c>
      <c r="H411" t="s">
        <v>70</v>
      </c>
    </row>
    <row r="412" spans="1:8">
      <c r="A412" t="s">
        <v>482</v>
      </c>
      <c r="B412" s="3">
        <v>46043.333333333336</v>
      </c>
      <c r="C412" t="s">
        <v>36</v>
      </c>
      <c r="D412">
        <v>7</v>
      </c>
      <c r="E412">
        <v>61</v>
      </c>
      <c r="F412">
        <v>3.8</v>
      </c>
      <c r="G412">
        <v>11.5</v>
      </c>
      <c r="H412" t="s">
        <v>70</v>
      </c>
    </row>
    <row r="413" spans="1:8">
      <c r="A413" t="s">
        <v>483</v>
      </c>
      <c r="B413" s="3">
        <v>46043.333333333336</v>
      </c>
      <c r="C413" t="s">
        <v>38</v>
      </c>
      <c r="D413">
        <v>6</v>
      </c>
      <c r="E413">
        <v>58</v>
      </c>
      <c r="F413">
        <v>5.3</v>
      </c>
      <c r="G413">
        <v>11.8</v>
      </c>
      <c r="H413" t="s">
        <v>70</v>
      </c>
    </row>
    <row r="414" spans="1:8">
      <c r="A414" t="s">
        <v>484</v>
      </c>
      <c r="B414" s="3">
        <v>46043.333333333336</v>
      </c>
      <c r="C414" t="s">
        <v>42</v>
      </c>
      <c r="D414">
        <v>9</v>
      </c>
      <c r="E414">
        <v>88</v>
      </c>
      <c r="F414">
        <v>6.2</v>
      </c>
      <c r="G414">
        <v>14.7</v>
      </c>
      <c r="H414" t="s">
        <v>84</v>
      </c>
    </row>
    <row r="415" spans="1:8">
      <c r="A415" t="s">
        <v>485</v>
      </c>
      <c r="B415" s="3">
        <v>46043.333333333336</v>
      </c>
      <c r="C415" t="s">
        <v>45</v>
      </c>
      <c r="D415">
        <v>8</v>
      </c>
      <c r="E415">
        <v>67</v>
      </c>
      <c r="F415">
        <v>4.9000000000000004</v>
      </c>
      <c r="G415">
        <v>15.6</v>
      </c>
      <c r="H415" t="s">
        <v>70</v>
      </c>
    </row>
    <row r="416" spans="1:8">
      <c r="A416" t="s">
        <v>486</v>
      </c>
      <c r="B416" s="3">
        <v>46043.333333333336</v>
      </c>
      <c r="C416" t="s">
        <v>47</v>
      </c>
      <c r="D416">
        <v>10</v>
      </c>
      <c r="E416">
        <v>89</v>
      </c>
      <c r="F416">
        <v>6.9</v>
      </c>
      <c r="G416">
        <v>16.8</v>
      </c>
      <c r="H416" t="s">
        <v>84</v>
      </c>
    </row>
    <row r="417" spans="1:8">
      <c r="A417" t="s">
        <v>487</v>
      </c>
      <c r="B417" s="3">
        <v>46043.333333333336</v>
      </c>
      <c r="C417" t="s">
        <v>50</v>
      </c>
      <c r="D417">
        <v>7</v>
      </c>
      <c r="E417">
        <v>80</v>
      </c>
      <c r="F417">
        <v>5.9</v>
      </c>
      <c r="G417">
        <v>11</v>
      </c>
      <c r="H417" t="s">
        <v>70</v>
      </c>
    </row>
    <row r="418" spans="1:8">
      <c r="A418" t="s">
        <v>488</v>
      </c>
      <c r="B418" s="3">
        <v>46043.333333333336</v>
      </c>
      <c r="C418" t="s">
        <v>52</v>
      </c>
      <c r="D418">
        <v>10</v>
      </c>
      <c r="E418">
        <v>63</v>
      </c>
      <c r="F418">
        <v>3.2</v>
      </c>
      <c r="G418">
        <v>9</v>
      </c>
      <c r="H418" t="s">
        <v>70</v>
      </c>
    </row>
    <row r="419" spans="1:8">
      <c r="A419" t="s">
        <v>489</v>
      </c>
      <c r="B419" s="3">
        <v>46043.333333333336</v>
      </c>
      <c r="C419" t="s">
        <v>55</v>
      </c>
      <c r="D419">
        <v>7</v>
      </c>
      <c r="E419">
        <v>67</v>
      </c>
      <c r="F419">
        <v>6.1</v>
      </c>
      <c r="G419">
        <v>13</v>
      </c>
      <c r="H419" t="s">
        <v>70</v>
      </c>
    </row>
    <row r="420" spans="1:8">
      <c r="A420" t="s">
        <v>490</v>
      </c>
      <c r="B420" s="3">
        <v>46043.333333333336</v>
      </c>
      <c r="C420" t="s">
        <v>57</v>
      </c>
      <c r="D420">
        <v>10</v>
      </c>
      <c r="E420">
        <v>48</v>
      </c>
      <c r="F420">
        <v>4.7</v>
      </c>
      <c r="G420">
        <v>11.9</v>
      </c>
      <c r="H420" t="s">
        <v>70</v>
      </c>
    </row>
    <row r="421" spans="1:8">
      <c r="A421" t="s">
        <v>491</v>
      </c>
      <c r="B421" s="3">
        <v>46043.333333333336</v>
      </c>
      <c r="C421" t="s">
        <v>60</v>
      </c>
      <c r="D421">
        <v>7</v>
      </c>
      <c r="E421">
        <v>45</v>
      </c>
      <c r="F421">
        <v>5.4</v>
      </c>
      <c r="G421">
        <v>13</v>
      </c>
      <c r="H421" t="s">
        <v>70</v>
      </c>
    </row>
    <row r="422" spans="1:8">
      <c r="A422" t="s">
        <v>492</v>
      </c>
      <c r="B422" s="3">
        <v>46044.333333333336</v>
      </c>
      <c r="C422" t="s">
        <v>8</v>
      </c>
      <c r="D422">
        <v>9</v>
      </c>
      <c r="E422">
        <v>72</v>
      </c>
      <c r="F422">
        <v>3.4</v>
      </c>
      <c r="G422">
        <v>8</v>
      </c>
      <c r="H422" t="s">
        <v>70</v>
      </c>
    </row>
    <row r="423" spans="1:8">
      <c r="A423" t="s">
        <v>493</v>
      </c>
      <c r="B423" s="3">
        <v>46044.333333333336</v>
      </c>
      <c r="C423" t="s">
        <v>13</v>
      </c>
      <c r="D423">
        <v>8</v>
      </c>
      <c r="E423">
        <v>70</v>
      </c>
      <c r="F423">
        <v>3.8</v>
      </c>
      <c r="G423">
        <v>11.4</v>
      </c>
      <c r="H423" t="s">
        <v>70</v>
      </c>
    </row>
    <row r="424" spans="1:8">
      <c r="A424" t="s">
        <v>494</v>
      </c>
      <c r="B424" s="3">
        <v>46044.333333333336</v>
      </c>
      <c r="C424" t="s">
        <v>15</v>
      </c>
      <c r="D424">
        <v>6</v>
      </c>
      <c r="E424">
        <v>79</v>
      </c>
      <c r="F424">
        <v>3.5</v>
      </c>
      <c r="G424">
        <v>14.3</v>
      </c>
      <c r="H424" t="s">
        <v>70</v>
      </c>
    </row>
    <row r="425" spans="1:8">
      <c r="A425" t="s">
        <v>495</v>
      </c>
      <c r="B425" s="3">
        <v>46044.333333333336</v>
      </c>
      <c r="C425" t="s">
        <v>18</v>
      </c>
      <c r="D425">
        <v>9</v>
      </c>
      <c r="E425">
        <v>73</v>
      </c>
      <c r="F425">
        <v>4.7</v>
      </c>
      <c r="G425">
        <v>10.9</v>
      </c>
      <c r="H425" t="s">
        <v>70</v>
      </c>
    </row>
    <row r="426" spans="1:8">
      <c r="A426" t="s">
        <v>496</v>
      </c>
      <c r="B426" s="3">
        <v>46044.333333333336</v>
      </c>
      <c r="C426" t="s">
        <v>20</v>
      </c>
      <c r="D426">
        <v>7</v>
      </c>
      <c r="E426">
        <v>67</v>
      </c>
      <c r="F426">
        <v>3.6</v>
      </c>
      <c r="G426">
        <v>12.7</v>
      </c>
      <c r="H426" t="s">
        <v>70</v>
      </c>
    </row>
    <row r="427" spans="1:8">
      <c r="A427" t="s">
        <v>497</v>
      </c>
      <c r="B427" s="3">
        <v>46044.333333333336</v>
      </c>
      <c r="C427" t="s">
        <v>24</v>
      </c>
      <c r="D427">
        <v>9</v>
      </c>
      <c r="E427">
        <v>69</v>
      </c>
      <c r="F427">
        <v>5.0999999999999996</v>
      </c>
      <c r="G427">
        <v>10.4</v>
      </c>
      <c r="H427" t="s">
        <v>70</v>
      </c>
    </row>
    <row r="428" spans="1:8">
      <c r="A428" t="s">
        <v>498</v>
      </c>
      <c r="B428" s="3">
        <v>46044.333333333336</v>
      </c>
      <c r="C428" t="s">
        <v>26</v>
      </c>
      <c r="D428">
        <v>8</v>
      </c>
      <c r="E428">
        <v>66</v>
      </c>
      <c r="F428">
        <v>5</v>
      </c>
      <c r="G428">
        <v>15.1</v>
      </c>
      <c r="H428" t="s">
        <v>70</v>
      </c>
    </row>
    <row r="429" spans="1:8">
      <c r="A429" t="s">
        <v>499</v>
      </c>
      <c r="B429" s="3">
        <v>46044.333333333336</v>
      </c>
      <c r="C429" t="s">
        <v>28</v>
      </c>
      <c r="D429">
        <v>10</v>
      </c>
      <c r="E429">
        <v>90</v>
      </c>
      <c r="F429">
        <v>6.9</v>
      </c>
      <c r="G429">
        <v>17.3</v>
      </c>
      <c r="H429" t="s">
        <v>70</v>
      </c>
    </row>
    <row r="430" spans="1:8">
      <c r="A430" t="s">
        <v>500</v>
      </c>
      <c r="B430" s="3">
        <v>46044.333333333336</v>
      </c>
      <c r="C430" t="s">
        <v>31</v>
      </c>
      <c r="D430">
        <v>8</v>
      </c>
      <c r="E430">
        <v>76</v>
      </c>
      <c r="F430">
        <v>4</v>
      </c>
      <c r="G430">
        <v>9.4</v>
      </c>
      <c r="H430" t="s">
        <v>70</v>
      </c>
    </row>
    <row r="431" spans="1:8">
      <c r="A431" t="s">
        <v>501</v>
      </c>
      <c r="B431" s="3">
        <v>46044.333333333336</v>
      </c>
      <c r="C431" t="s">
        <v>33</v>
      </c>
      <c r="D431">
        <v>6</v>
      </c>
      <c r="E431">
        <v>56</v>
      </c>
      <c r="F431">
        <v>5.5</v>
      </c>
      <c r="G431">
        <v>11.9</v>
      </c>
      <c r="H431" t="s">
        <v>70</v>
      </c>
    </row>
    <row r="432" spans="1:8">
      <c r="A432" t="s">
        <v>502</v>
      </c>
      <c r="B432" s="3">
        <v>46044.333333333336</v>
      </c>
      <c r="C432" t="s">
        <v>36</v>
      </c>
      <c r="D432">
        <v>7</v>
      </c>
      <c r="E432">
        <v>63</v>
      </c>
      <c r="F432">
        <v>3.8</v>
      </c>
      <c r="G432">
        <v>10.8</v>
      </c>
      <c r="H432" t="s">
        <v>70</v>
      </c>
    </row>
    <row r="433" spans="1:8">
      <c r="A433" t="s">
        <v>503</v>
      </c>
      <c r="B433" s="3">
        <v>46044.333333333336</v>
      </c>
      <c r="C433" t="s">
        <v>38</v>
      </c>
      <c r="D433">
        <v>10</v>
      </c>
      <c r="E433">
        <v>59</v>
      </c>
      <c r="F433">
        <v>5.4</v>
      </c>
      <c r="G433">
        <v>11.5</v>
      </c>
      <c r="H433" t="s">
        <v>70</v>
      </c>
    </row>
    <row r="434" spans="1:8">
      <c r="A434" t="s">
        <v>504</v>
      </c>
      <c r="B434" s="3">
        <v>46044.333333333336</v>
      </c>
      <c r="C434" t="s">
        <v>42</v>
      </c>
      <c r="D434">
        <v>7</v>
      </c>
      <c r="E434">
        <v>87</v>
      </c>
      <c r="F434">
        <v>8.6</v>
      </c>
      <c r="G434">
        <v>20.2</v>
      </c>
      <c r="H434" t="s">
        <v>78</v>
      </c>
    </row>
    <row r="435" spans="1:8">
      <c r="A435" t="s">
        <v>505</v>
      </c>
      <c r="B435" s="3">
        <v>46044.333333333336</v>
      </c>
      <c r="C435" t="s">
        <v>45</v>
      </c>
      <c r="D435">
        <v>7</v>
      </c>
      <c r="E435">
        <v>75</v>
      </c>
      <c r="F435">
        <v>4.5</v>
      </c>
      <c r="G435">
        <v>8.1</v>
      </c>
      <c r="H435" t="s">
        <v>70</v>
      </c>
    </row>
    <row r="436" spans="1:8">
      <c r="A436" t="s">
        <v>506</v>
      </c>
      <c r="B436" s="3">
        <v>46044.333333333336</v>
      </c>
      <c r="C436" t="s">
        <v>47</v>
      </c>
      <c r="D436">
        <v>10</v>
      </c>
      <c r="E436">
        <v>84</v>
      </c>
      <c r="F436">
        <v>8.9</v>
      </c>
      <c r="G436">
        <v>16.3</v>
      </c>
      <c r="H436" t="s">
        <v>84</v>
      </c>
    </row>
    <row r="437" spans="1:8">
      <c r="A437" t="s">
        <v>507</v>
      </c>
      <c r="B437" s="3">
        <v>46044.333333333336</v>
      </c>
      <c r="C437" t="s">
        <v>50</v>
      </c>
      <c r="D437">
        <v>6</v>
      </c>
      <c r="E437">
        <v>72</v>
      </c>
      <c r="F437">
        <v>4</v>
      </c>
      <c r="G437">
        <v>14.5</v>
      </c>
      <c r="H437" t="s">
        <v>70</v>
      </c>
    </row>
    <row r="438" spans="1:8">
      <c r="A438" t="s">
        <v>508</v>
      </c>
      <c r="B438" s="3">
        <v>46044.333333333336</v>
      </c>
      <c r="C438" t="s">
        <v>52</v>
      </c>
      <c r="D438">
        <v>6</v>
      </c>
      <c r="E438">
        <v>63</v>
      </c>
      <c r="F438">
        <v>5.3</v>
      </c>
      <c r="G438">
        <v>10.6</v>
      </c>
      <c r="H438" t="s">
        <v>70</v>
      </c>
    </row>
    <row r="439" spans="1:8">
      <c r="A439" t="s">
        <v>509</v>
      </c>
      <c r="B439" s="3">
        <v>46044.333333333336</v>
      </c>
      <c r="C439" t="s">
        <v>55</v>
      </c>
      <c r="D439">
        <v>7</v>
      </c>
      <c r="E439">
        <v>64</v>
      </c>
      <c r="F439">
        <v>5.0999999999999996</v>
      </c>
      <c r="G439">
        <v>11.1</v>
      </c>
      <c r="H439" t="s">
        <v>70</v>
      </c>
    </row>
    <row r="440" spans="1:8">
      <c r="A440" t="s">
        <v>510</v>
      </c>
      <c r="B440" s="3">
        <v>46044.333333333336</v>
      </c>
      <c r="C440" t="s">
        <v>57</v>
      </c>
      <c r="D440">
        <v>9</v>
      </c>
      <c r="E440">
        <v>46</v>
      </c>
      <c r="F440">
        <v>3.9</v>
      </c>
      <c r="G440">
        <v>9.3000000000000007</v>
      </c>
      <c r="H440" t="s">
        <v>70</v>
      </c>
    </row>
    <row r="441" spans="1:8">
      <c r="A441" t="s">
        <v>511</v>
      </c>
      <c r="B441" s="3">
        <v>46044.333333333336</v>
      </c>
      <c r="C441" t="s">
        <v>60</v>
      </c>
      <c r="D441">
        <v>9</v>
      </c>
      <c r="E441">
        <v>52</v>
      </c>
      <c r="F441">
        <v>5.6</v>
      </c>
      <c r="G441">
        <v>15.5</v>
      </c>
      <c r="H441" t="s">
        <v>70</v>
      </c>
    </row>
    <row r="442" spans="1:8">
      <c r="A442" t="s">
        <v>512</v>
      </c>
      <c r="B442" s="3">
        <v>46045.333333333336</v>
      </c>
      <c r="C442" t="s">
        <v>8</v>
      </c>
      <c r="D442">
        <v>6</v>
      </c>
      <c r="E442">
        <v>74</v>
      </c>
      <c r="F442">
        <v>5.9</v>
      </c>
      <c r="G442">
        <v>14.4</v>
      </c>
      <c r="H442" t="s">
        <v>70</v>
      </c>
    </row>
    <row r="443" spans="1:8">
      <c r="A443" t="s">
        <v>513</v>
      </c>
      <c r="B443" s="3">
        <v>46045.333333333336</v>
      </c>
      <c r="C443" t="s">
        <v>13</v>
      </c>
      <c r="D443">
        <v>9</v>
      </c>
      <c r="E443">
        <v>69</v>
      </c>
      <c r="F443">
        <v>4.7</v>
      </c>
      <c r="G443">
        <v>13.1</v>
      </c>
      <c r="H443" t="s">
        <v>70</v>
      </c>
    </row>
    <row r="444" spans="1:8">
      <c r="A444" t="s">
        <v>514</v>
      </c>
      <c r="B444" s="3">
        <v>46045.333333333336</v>
      </c>
      <c r="C444" t="s">
        <v>15</v>
      </c>
      <c r="D444">
        <v>8</v>
      </c>
      <c r="E444">
        <v>76</v>
      </c>
      <c r="F444">
        <v>5.5</v>
      </c>
      <c r="G444">
        <v>14.1</v>
      </c>
      <c r="H444" t="s">
        <v>70</v>
      </c>
    </row>
    <row r="445" spans="1:8">
      <c r="A445" t="s">
        <v>515</v>
      </c>
      <c r="B445" s="3">
        <v>46045.333333333336</v>
      </c>
      <c r="C445" t="s">
        <v>18</v>
      </c>
      <c r="D445">
        <v>8</v>
      </c>
      <c r="E445">
        <v>72</v>
      </c>
      <c r="F445">
        <v>5.4</v>
      </c>
      <c r="G445">
        <v>11</v>
      </c>
      <c r="H445" t="s">
        <v>70</v>
      </c>
    </row>
    <row r="446" spans="1:8">
      <c r="A446" t="s">
        <v>516</v>
      </c>
      <c r="B446" s="3">
        <v>46045.333333333336</v>
      </c>
      <c r="C446" t="s">
        <v>20</v>
      </c>
      <c r="D446">
        <v>10</v>
      </c>
      <c r="E446">
        <v>68</v>
      </c>
      <c r="F446">
        <v>4.5999999999999996</v>
      </c>
      <c r="G446">
        <v>12.8</v>
      </c>
      <c r="H446" t="s">
        <v>70</v>
      </c>
    </row>
    <row r="447" spans="1:8">
      <c r="A447" t="s">
        <v>517</v>
      </c>
      <c r="B447" s="3">
        <v>46045.333333333336</v>
      </c>
      <c r="C447" t="s">
        <v>24</v>
      </c>
      <c r="D447">
        <v>7</v>
      </c>
      <c r="E447">
        <v>70</v>
      </c>
      <c r="F447">
        <v>5.8</v>
      </c>
      <c r="G447">
        <v>11.5</v>
      </c>
      <c r="H447" t="s">
        <v>70</v>
      </c>
    </row>
    <row r="448" spans="1:8">
      <c r="A448" t="s">
        <v>518</v>
      </c>
      <c r="B448" s="3">
        <v>46045.333333333336</v>
      </c>
      <c r="C448" t="s">
        <v>26</v>
      </c>
      <c r="D448">
        <v>8</v>
      </c>
      <c r="E448">
        <v>63</v>
      </c>
      <c r="F448">
        <v>3.8</v>
      </c>
      <c r="G448">
        <v>13.7</v>
      </c>
      <c r="H448" t="s">
        <v>70</v>
      </c>
    </row>
    <row r="449" spans="1:8">
      <c r="A449" t="s">
        <v>519</v>
      </c>
      <c r="B449" s="3">
        <v>46045.333333333336</v>
      </c>
      <c r="C449" t="s">
        <v>28</v>
      </c>
      <c r="D449">
        <v>7</v>
      </c>
      <c r="E449">
        <v>99</v>
      </c>
      <c r="F449">
        <v>9.4</v>
      </c>
      <c r="G449">
        <v>19.600000000000001</v>
      </c>
      <c r="H449" t="s">
        <v>78</v>
      </c>
    </row>
    <row r="450" spans="1:8">
      <c r="A450" t="s">
        <v>520</v>
      </c>
      <c r="B450" s="3">
        <v>46045.333333333336</v>
      </c>
      <c r="C450" t="s">
        <v>31</v>
      </c>
      <c r="D450">
        <v>10</v>
      </c>
      <c r="E450">
        <v>80</v>
      </c>
      <c r="F450">
        <v>4.8</v>
      </c>
      <c r="G450">
        <v>13.8</v>
      </c>
      <c r="H450" t="s">
        <v>70</v>
      </c>
    </row>
    <row r="451" spans="1:8">
      <c r="A451" t="s">
        <v>521</v>
      </c>
      <c r="B451" s="3">
        <v>46045.333333333336</v>
      </c>
      <c r="C451" t="s">
        <v>33</v>
      </c>
      <c r="D451">
        <v>9</v>
      </c>
      <c r="E451">
        <v>59</v>
      </c>
      <c r="F451">
        <v>5.0999999999999996</v>
      </c>
      <c r="G451">
        <v>8.6</v>
      </c>
      <c r="H451" t="s">
        <v>70</v>
      </c>
    </row>
    <row r="452" spans="1:8">
      <c r="A452" t="s">
        <v>522</v>
      </c>
      <c r="B452" s="3">
        <v>46045.333333333336</v>
      </c>
      <c r="C452" t="s">
        <v>36</v>
      </c>
      <c r="D452">
        <v>8</v>
      </c>
      <c r="E452">
        <v>62</v>
      </c>
      <c r="F452">
        <v>6.1</v>
      </c>
      <c r="G452">
        <v>9.1999999999999993</v>
      </c>
      <c r="H452" t="s">
        <v>70</v>
      </c>
    </row>
    <row r="453" spans="1:8">
      <c r="A453" t="s">
        <v>523</v>
      </c>
      <c r="B453" s="3">
        <v>46045.333333333336</v>
      </c>
      <c r="C453" t="s">
        <v>38</v>
      </c>
      <c r="D453">
        <v>6</v>
      </c>
      <c r="E453">
        <v>57</v>
      </c>
      <c r="F453">
        <v>4.3</v>
      </c>
      <c r="G453">
        <v>13</v>
      </c>
      <c r="H453" t="s">
        <v>70</v>
      </c>
    </row>
    <row r="454" spans="1:8">
      <c r="A454" t="s">
        <v>524</v>
      </c>
      <c r="B454" s="3">
        <v>46045.333333333336</v>
      </c>
      <c r="C454" t="s">
        <v>42</v>
      </c>
      <c r="D454">
        <v>9</v>
      </c>
      <c r="E454">
        <v>89</v>
      </c>
      <c r="F454">
        <v>7.3</v>
      </c>
      <c r="G454">
        <v>14.8</v>
      </c>
      <c r="H454" t="s">
        <v>78</v>
      </c>
    </row>
    <row r="455" spans="1:8">
      <c r="A455" t="s">
        <v>525</v>
      </c>
      <c r="B455" s="3">
        <v>46045.333333333336</v>
      </c>
      <c r="C455" t="s">
        <v>45</v>
      </c>
      <c r="D455">
        <v>8</v>
      </c>
      <c r="E455">
        <v>68</v>
      </c>
      <c r="F455">
        <v>5.5</v>
      </c>
      <c r="G455">
        <v>10.4</v>
      </c>
      <c r="H455" t="s">
        <v>70</v>
      </c>
    </row>
    <row r="456" spans="1:8">
      <c r="A456" t="s">
        <v>526</v>
      </c>
      <c r="B456" s="3">
        <v>46045.333333333336</v>
      </c>
      <c r="C456" t="s">
        <v>47</v>
      </c>
      <c r="D456">
        <v>7</v>
      </c>
      <c r="E456">
        <v>88</v>
      </c>
      <c r="F456">
        <v>8.5</v>
      </c>
      <c r="G456">
        <v>14.6</v>
      </c>
      <c r="H456" t="s">
        <v>78</v>
      </c>
    </row>
    <row r="457" spans="1:8">
      <c r="A457" t="s">
        <v>527</v>
      </c>
      <c r="B457" s="3">
        <v>46045.333333333336</v>
      </c>
      <c r="C457" t="s">
        <v>50</v>
      </c>
      <c r="D457">
        <v>8</v>
      </c>
      <c r="E457">
        <v>77</v>
      </c>
      <c r="F457">
        <v>3.9</v>
      </c>
      <c r="G457">
        <v>15.3</v>
      </c>
      <c r="H457" t="s">
        <v>70</v>
      </c>
    </row>
    <row r="458" spans="1:8">
      <c r="A458" t="s">
        <v>528</v>
      </c>
      <c r="B458" s="3">
        <v>46045.333333333336</v>
      </c>
      <c r="C458" t="s">
        <v>52</v>
      </c>
      <c r="D458">
        <v>8</v>
      </c>
      <c r="E458">
        <v>70</v>
      </c>
      <c r="F458">
        <v>5.9</v>
      </c>
      <c r="G458">
        <v>14.8</v>
      </c>
      <c r="H458" t="s">
        <v>70</v>
      </c>
    </row>
    <row r="459" spans="1:8">
      <c r="A459" t="s">
        <v>529</v>
      </c>
      <c r="B459" s="3">
        <v>46045.333333333336</v>
      </c>
      <c r="C459" t="s">
        <v>55</v>
      </c>
      <c r="D459">
        <v>6</v>
      </c>
      <c r="E459">
        <v>62</v>
      </c>
      <c r="F459">
        <v>3.4</v>
      </c>
      <c r="G459">
        <v>12.6</v>
      </c>
      <c r="H459" t="s">
        <v>70</v>
      </c>
    </row>
    <row r="460" spans="1:8">
      <c r="A460" t="s">
        <v>530</v>
      </c>
      <c r="B460" s="3">
        <v>46045.333333333336</v>
      </c>
      <c r="C460" t="s">
        <v>57</v>
      </c>
      <c r="D460">
        <v>6</v>
      </c>
      <c r="E460">
        <v>52</v>
      </c>
      <c r="F460">
        <v>4.0999999999999996</v>
      </c>
      <c r="G460">
        <v>15.5</v>
      </c>
      <c r="H460" t="s">
        <v>70</v>
      </c>
    </row>
    <row r="461" spans="1:8">
      <c r="A461" t="s">
        <v>531</v>
      </c>
      <c r="B461" s="3">
        <v>46045.333333333336</v>
      </c>
      <c r="C461" t="s">
        <v>60</v>
      </c>
      <c r="D461">
        <v>8</v>
      </c>
      <c r="E461">
        <v>46</v>
      </c>
      <c r="F461">
        <v>3.8</v>
      </c>
      <c r="G461">
        <v>15.7</v>
      </c>
      <c r="H461" t="s">
        <v>70</v>
      </c>
    </row>
    <row r="462" spans="1:8">
      <c r="A462" t="s">
        <v>532</v>
      </c>
      <c r="B462" s="3">
        <v>46046.333333333336</v>
      </c>
      <c r="C462" t="s">
        <v>8</v>
      </c>
      <c r="D462">
        <v>6</v>
      </c>
      <c r="E462">
        <v>72</v>
      </c>
      <c r="F462">
        <v>4.8</v>
      </c>
      <c r="G462">
        <v>10.5</v>
      </c>
      <c r="H462" t="s">
        <v>70</v>
      </c>
    </row>
    <row r="463" spans="1:8">
      <c r="A463" t="s">
        <v>533</v>
      </c>
      <c r="B463" s="3">
        <v>46046.333333333336</v>
      </c>
      <c r="C463" t="s">
        <v>13</v>
      </c>
      <c r="D463">
        <v>7</v>
      </c>
      <c r="E463">
        <v>71</v>
      </c>
      <c r="F463">
        <v>3.6</v>
      </c>
      <c r="G463">
        <v>9.5</v>
      </c>
      <c r="H463" t="s">
        <v>70</v>
      </c>
    </row>
    <row r="464" spans="1:8">
      <c r="A464" t="s">
        <v>534</v>
      </c>
      <c r="B464" s="3">
        <v>46046.333333333336</v>
      </c>
      <c r="C464" t="s">
        <v>15</v>
      </c>
      <c r="D464">
        <v>9</v>
      </c>
      <c r="E464">
        <v>73</v>
      </c>
      <c r="F464">
        <v>4.9000000000000004</v>
      </c>
      <c r="G464">
        <v>13.7</v>
      </c>
      <c r="H464" t="s">
        <v>70</v>
      </c>
    </row>
    <row r="465" spans="1:8">
      <c r="A465" t="s">
        <v>535</v>
      </c>
      <c r="B465" s="3">
        <v>46046.333333333336</v>
      </c>
      <c r="C465" t="s">
        <v>18</v>
      </c>
      <c r="D465">
        <v>9</v>
      </c>
      <c r="E465">
        <v>76</v>
      </c>
      <c r="F465">
        <v>4.7</v>
      </c>
      <c r="G465">
        <v>15.6</v>
      </c>
      <c r="H465" t="s">
        <v>70</v>
      </c>
    </row>
    <row r="466" spans="1:8">
      <c r="A466" t="s">
        <v>536</v>
      </c>
      <c r="B466" s="3">
        <v>46046.333333333336</v>
      </c>
      <c r="C466" t="s">
        <v>20</v>
      </c>
      <c r="D466">
        <v>8</v>
      </c>
      <c r="E466">
        <v>67</v>
      </c>
      <c r="F466">
        <v>6.1</v>
      </c>
      <c r="G466">
        <v>14</v>
      </c>
      <c r="H466" t="s">
        <v>70</v>
      </c>
    </row>
    <row r="467" spans="1:8">
      <c r="A467" t="s">
        <v>537</v>
      </c>
      <c r="B467" s="3">
        <v>46046.333333333336</v>
      </c>
      <c r="C467" t="s">
        <v>24</v>
      </c>
      <c r="D467">
        <v>8</v>
      </c>
      <c r="E467">
        <v>70</v>
      </c>
      <c r="F467">
        <v>4.4000000000000004</v>
      </c>
      <c r="G467">
        <v>13.6</v>
      </c>
      <c r="H467" t="s">
        <v>70</v>
      </c>
    </row>
    <row r="468" spans="1:8">
      <c r="A468" t="s">
        <v>538</v>
      </c>
      <c r="B468" s="3">
        <v>46046.333333333336</v>
      </c>
      <c r="C468" t="s">
        <v>26</v>
      </c>
      <c r="D468">
        <v>9</v>
      </c>
      <c r="E468">
        <v>66</v>
      </c>
      <c r="F468">
        <v>4.4000000000000004</v>
      </c>
      <c r="G468">
        <v>15.5</v>
      </c>
      <c r="H468" t="s">
        <v>70</v>
      </c>
    </row>
    <row r="469" spans="1:8">
      <c r="A469" t="s">
        <v>539</v>
      </c>
      <c r="B469" s="3">
        <v>46046.333333333336</v>
      </c>
      <c r="C469" t="s">
        <v>28</v>
      </c>
      <c r="D469">
        <v>9</v>
      </c>
      <c r="E469">
        <v>89</v>
      </c>
      <c r="F469">
        <v>9.6999999999999993</v>
      </c>
      <c r="G469">
        <v>14.2</v>
      </c>
      <c r="H469" t="s">
        <v>84</v>
      </c>
    </row>
    <row r="470" spans="1:8">
      <c r="A470" t="s">
        <v>540</v>
      </c>
      <c r="B470" s="3">
        <v>46046.333333333336</v>
      </c>
      <c r="C470" t="s">
        <v>31</v>
      </c>
      <c r="D470">
        <v>10</v>
      </c>
      <c r="E470">
        <v>82</v>
      </c>
      <c r="F470">
        <v>6.8</v>
      </c>
      <c r="G470">
        <v>14.6</v>
      </c>
      <c r="H470" t="s">
        <v>70</v>
      </c>
    </row>
    <row r="471" spans="1:8">
      <c r="A471" t="s">
        <v>541</v>
      </c>
      <c r="B471" s="3">
        <v>46046.333333333336</v>
      </c>
      <c r="C471" t="s">
        <v>33</v>
      </c>
      <c r="D471">
        <v>7</v>
      </c>
      <c r="E471">
        <v>62</v>
      </c>
      <c r="F471">
        <v>5.0999999999999996</v>
      </c>
      <c r="G471">
        <v>12.8</v>
      </c>
      <c r="H471" t="s">
        <v>70</v>
      </c>
    </row>
    <row r="472" spans="1:8">
      <c r="A472" t="s">
        <v>542</v>
      </c>
      <c r="B472" s="3">
        <v>46046.333333333336</v>
      </c>
      <c r="C472" t="s">
        <v>36</v>
      </c>
      <c r="D472">
        <v>8</v>
      </c>
      <c r="E472">
        <v>63</v>
      </c>
      <c r="F472">
        <v>5.7</v>
      </c>
      <c r="G472">
        <v>14.2</v>
      </c>
      <c r="H472" t="s">
        <v>70</v>
      </c>
    </row>
    <row r="473" spans="1:8">
      <c r="A473" t="s">
        <v>543</v>
      </c>
      <c r="B473" s="3">
        <v>46046.333333333336</v>
      </c>
      <c r="C473" t="s">
        <v>38</v>
      </c>
      <c r="D473">
        <v>10</v>
      </c>
      <c r="E473">
        <v>62</v>
      </c>
      <c r="F473">
        <v>5</v>
      </c>
      <c r="G473">
        <v>8.9</v>
      </c>
      <c r="H473" t="s">
        <v>70</v>
      </c>
    </row>
    <row r="474" spans="1:8">
      <c r="A474" t="s">
        <v>544</v>
      </c>
      <c r="B474" s="3">
        <v>46046.333333333336</v>
      </c>
      <c r="C474" t="s">
        <v>42</v>
      </c>
      <c r="D474">
        <v>8</v>
      </c>
      <c r="E474">
        <v>85</v>
      </c>
      <c r="F474">
        <v>9.1</v>
      </c>
      <c r="G474">
        <v>15</v>
      </c>
      <c r="H474" t="s">
        <v>78</v>
      </c>
    </row>
    <row r="475" spans="1:8">
      <c r="A475" t="s">
        <v>545</v>
      </c>
      <c r="B475" s="3">
        <v>46046.333333333336</v>
      </c>
      <c r="C475" t="s">
        <v>45</v>
      </c>
      <c r="D475">
        <v>8</v>
      </c>
      <c r="E475">
        <v>69</v>
      </c>
      <c r="F475">
        <v>3.7</v>
      </c>
      <c r="G475">
        <v>14</v>
      </c>
      <c r="H475" t="s">
        <v>70</v>
      </c>
    </row>
    <row r="476" spans="1:8">
      <c r="A476" t="s">
        <v>546</v>
      </c>
      <c r="B476" s="3">
        <v>46046.333333333336</v>
      </c>
      <c r="C476" t="s">
        <v>47</v>
      </c>
      <c r="D476">
        <v>8</v>
      </c>
      <c r="E476">
        <v>85</v>
      </c>
      <c r="F476">
        <v>8.4</v>
      </c>
      <c r="G476">
        <v>21.6</v>
      </c>
      <c r="H476" t="s">
        <v>84</v>
      </c>
    </row>
    <row r="477" spans="1:8">
      <c r="A477" t="s">
        <v>547</v>
      </c>
      <c r="B477" s="3">
        <v>46046.333333333336</v>
      </c>
      <c r="C477" t="s">
        <v>50</v>
      </c>
      <c r="D477">
        <v>7</v>
      </c>
      <c r="E477">
        <v>80</v>
      </c>
      <c r="F477">
        <v>4</v>
      </c>
      <c r="G477">
        <v>11.3</v>
      </c>
      <c r="H477" t="s">
        <v>70</v>
      </c>
    </row>
    <row r="478" spans="1:8">
      <c r="A478" t="s">
        <v>548</v>
      </c>
      <c r="B478" s="3">
        <v>46046.333333333336</v>
      </c>
      <c r="C478" t="s">
        <v>52</v>
      </c>
      <c r="D478">
        <v>10</v>
      </c>
      <c r="E478">
        <v>62</v>
      </c>
      <c r="F478">
        <v>5.6</v>
      </c>
      <c r="G478">
        <v>13.1</v>
      </c>
      <c r="H478" t="s">
        <v>70</v>
      </c>
    </row>
    <row r="479" spans="1:8">
      <c r="A479" t="s">
        <v>549</v>
      </c>
      <c r="B479" s="3">
        <v>46046.333333333336</v>
      </c>
      <c r="C479" t="s">
        <v>55</v>
      </c>
      <c r="D479">
        <v>10</v>
      </c>
      <c r="E479">
        <v>60</v>
      </c>
      <c r="F479">
        <v>4.9000000000000004</v>
      </c>
      <c r="G479">
        <v>11.5</v>
      </c>
      <c r="H479" t="s">
        <v>70</v>
      </c>
    </row>
    <row r="480" spans="1:8">
      <c r="A480" t="s">
        <v>550</v>
      </c>
      <c r="B480" s="3">
        <v>46046.333333333336</v>
      </c>
      <c r="C480" t="s">
        <v>57</v>
      </c>
      <c r="D480">
        <v>8</v>
      </c>
      <c r="E480">
        <v>50</v>
      </c>
      <c r="F480">
        <v>4.8</v>
      </c>
      <c r="G480">
        <v>11.7</v>
      </c>
      <c r="H480" t="s">
        <v>70</v>
      </c>
    </row>
    <row r="481" spans="1:8">
      <c r="A481" t="s">
        <v>551</v>
      </c>
      <c r="B481" s="3">
        <v>46046.333333333336</v>
      </c>
      <c r="C481" t="s">
        <v>60</v>
      </c>
      <c r="D481">
        <v>6</v>
      </c>
      <c r="E481">
        <v>45</v>
      </c>
      <c r="F481">
        <v>4.2</v>
      </c>
      <c r="G481">
        <v>14.5</v>
      </c>
      <c r="H481" t="s">
        <v>70</v>
      </c>
    </row>
    <row r="482" spans="1:8">
      <c r="A482" t="s">
        <v>552</v>
      </c>
      <c r="B482" s="3">
        <v>46047.333333333336</v>
      </c>
      <c r="C482" t="s">
        <v>8</v>
      </c>
      <c r="D482">
        <v>9</v>
      </c>
      <c r="E482">
        <v>71</v>
      </c>
      <c r="F482">
        <v>4.7</v>
      </c>
      <c r="G482">
        <v>15.6</v>
      </c>
      <c r="H482" t="s">
        <v>70</v>
      </c>
    </row>
    <row r="483" spans="1:8">
      <c r="A483" t="s">
        <v>553</v>
      </c>
      <c r="B483" s="3">
        <v>46047.333333333336</v>
      </c>
      <c r="C483" t="s">
        <v>13</v>
      </c>
      <c r="D483">
        <v>7</v>
      </c>
      <c r="E483">
        <v>74</v>
      </c>
      <c r="F483">
        <v>5.5</v>
      </c>
      <c r="G483">
        <v>10.8</v>
      </c>
      <c r="H483" t="s">
        <v>70</v>
      </c>
    </row>
    <row r="484" spans="1:8">
      <c r="A484" t="s">
        <v>554</v>
      </c>
      <c r="B484" s="3">
        <v>46047.333333333336</v>
      </c>
      <c r="C484" t="s">
        <v>15</v>
      </c>
      <c r="D484">
        <v>9</v>
      </c>
      <c r="E484">
        <v>72</v>
      </c>
      <c r="F484">
        <v>5</v>
      </c>
      <c r="G484">
        <v>10.8</v>
      </c>
      <c r="H484" t="s">
        <v>70</v>
      </c>
    </row>
    <row r="485" spans="1:8">
      <c r="A485" t="s">
        <v>555</v>
      </c>
      <c r="B485" s="3">
        <v>46047.333333333336</v>
      </c>
      <c r="C485" t="s">
        <v>18</v>
      </c>
      <c r="D485">
        <v>10</v>
      </c>
      <c r="E485">
        <v>77</v>
      </c>
      <c r="F485">
        <v>3.6</v>
      </c>
      <c r="G485">
        <v>9.6999999999999993</v>
      </c>
      <c r="H485" t="s">
        <v>70</v>
      </c>
    </row>
    <row r="486" spans="1:8">
      <c r="A486" t="s">
        <v>556</v>
      </c>
      <c r="B486" s="3">
        <v>46047.333333333336</v>
      </c>
      <c r="C486" t="s">
        <v>20</v>
      </c>
      <c r="D486">
        <v>6</v>
      </c>
      <c r="E486">
        <v>63</v>
      </c>
      <c r="F486">
        <v>5.7</v>
      </c>
      <c r="G486">
        <v>10.199999999999999</v>
      </c>
      <c r="H486" t="s">
        <v>70</v>
      </c>
    </row>
    <row r="487" spans="1:8">
      <c r="A487" t="s">
        <v>557</v>
      </c>
      <c r="B487" s="3">
        <v>46047.333333333336</v>
      </c>
      <c r="C487" t="s">
        <v>24</v>
      </c>
      <c r="D487">
        <v>7</v>
      </c>
      <c r="E487">
        <v>64</v>
      </c>
      <c r="F487">
        <v>5.8</v>
      </c>
      <c r="G487">
        <v>15</v>
      </c>
      <c r="H487" t="s">
        <v>70</v>
      </c>
    </row>
    <row r="488" spans="1:8">
      <c r="A488" t="s">
        <v>558</v>
      </c>
      <c r="B488" s="3">
        <v>46047.333333333336</v>
      </c>
      <c r="C488" t="s">
        <v>26</v>
      </c>
      <c r="D488">
        <v>7</v>
      </c>
      <c r="E488">
        <v>73</v>
      </c>
      <c r="F488">
        <v>4.7</v>
      </c>
      <c r="G488">
        <v>9.6999999999999993</v>
      </c>
      <c r="H488" t="s">
        <v>70</v>
      </c>
    </row>
    <row r="489" spans="1:8">
      <c r="A489" t="s">
        <v>559</v>
      </c>
      <c r="B489" s="3">
        <v>46047.333333333336</v>
      </c>
      <c r="C489" t="s">
        <v>28</v>
      </c>
      <c r="D489">
        <v>9</v>
      </c>
      <c r="E489">
        <v>94</v>
      </c>
      <c r="F489">
        <v>7.9</v>
      </c>
      <c r="G489">
        <v>20</v>
      </c>
      <c r="H489" t="s">
        <v>78</v>
      </c>
    </row>
    <row r="490" spans="1:8">
      <c r="A490" t="s">
        <v>560</v>
      </c>
      <c r="B490" s="3">
        <v>46047.333333333336</v>
      </c>
      <c r="C490" t="s">
        <v>31</v>
      </c>
      <c r="D490">
        <v>9</v>
      </c>
      <c r="E490">
        <v>81</v>
      </c>
      <c r="F490">
        <v>6.7</v>
      </c>
      <c r="G490">
        <v>8.1</v>
      </c>
      <c r="H490" t="s">
        <v>70</v>
      </c>
    </row>
    <row r="491" spans="1:8">
      <c r="A491" t="s">
        <v>561</v>
      </c>
      <c r="B491" s="3">
        <v>46047.333333333336</v>
      </c>
      <c r="C491" t="s">
        <v>33</v>
      </c>
      <c r="D491">
        <v>7</v>
      </c>
      <c r="E491">
        <v>63</v>
      </c>
      <c r="F491">
        <v>3.3</v>
      </c>
      <c r="G491">
        <v>11.2</v>
      </c>
      <c r="H491" t="s">
        <v>70</v>
      </c>
    </row>
    <row r="492" spans="1:8">
      <c r="A492" t="s">
        <v>562</v>
      </c>
      <c r="B492" s="3">
        <v>46047.333333333336</v>
      </c>
      <c r="C492" t="s">
        <v>36</v>
      </c>
      <c r="D492">
        <v>6</v>
      </c>
      <c r="E492">
        <v>55</v>
      </c>
      <c r="F492">
        <v>4.5999999999999996</v>
      </c>
      <c r="G492">
        <v>14.1</v>
      </c>
      <c r="H492" t="s">
        <v>70</v>
      </c>
    </row>
    <row r="493" spans="1:8">
      <c r="A493" t="s">
        <v>563</v>
      </c>
      <c r="B493" s="3">
        <v>46047.333333333336</v>
      </c>
      <c r="C493" t="s">
        <v>38</v>
      </c>
      <c r="D493">
        <v>6</v>
      </c>
      <c r="E493">
        <v>58</v>
      </c>
      <c r="F493">
        <v>4.4000000000000004</v>
      </c>
      <c r="G493">
        <v>8.4</v>
      </c>
      <c r="H493" t="s">
        <v>70</v>
      </c>
    </row>
    <row r="494" spans="1:8">
      <c r="A494" t="s">
        <v>564</v>
      </c>
      <c r="B494" s="3">
        <v>46047.333333333336</v>
      </c>
      <c r="C494" t="s">
        <v>42</v>
      </c>
      <c r="D494">
        <v>9</v>
      </c>
      <c r="E494">
        <v>84</v>
      </c>
      <c r="F494">
        <v>8.4</v>
      </c>
      <c r="G494">
        <v>14.2</v>
      </c>
      <c r="H494" t="s">
        <v>78</v>
      </c>
    </row>
    <row r="495" spans="1:8">
      <c r="A495" t="s">
        <v>565</v>
      </c>
      <c r="B495" s="3">
        <v>46047.333333333336</v>
      </c>
      <c r="C495" t="s">
        <v>45</v>
      </c>
      <c r="D495">
        <v>9</v>
      </c>
      <c r="E495">
        <v>69</v>
      </c>
      <c r="F495">
        <v>3.6</v>
      </c>
      <c r="G495">
        <v>12.8</v>
      </c>
      <c r="H495" t="s">
        <v>70</v>
      </c>
    </row>
    <row r="496" spans="1:8">
      <c r="A496" t="s">
        <v>566</v>
      </c>
      <c r="B496" s="3">
        <v>46047.333333333336</v>
      </c>
      <c r="C496" t="s">
        <v>47</v>
      </c>
      <c r="D496">
        <v>8</v>
      </c>
      <c r="E496">
        <v>84</v>
      </c>
      <c r="F496">
        <v>7.6</v>
      </c>
      <c r="G496">
        <v>19.8</v>
      </c>
      <c r="H496" t="s">
        <v>84</v>
      </c>
    </row>
    <row r="497" spans="1:8">
      <c r="A497" t="s">
        <v>567</v>
      </c>
      <c r="B497" s="3">
        <v>46047.333333333336</v>
      </c>
      <c r="C497" t="s">
        <v>50</v>
      </c>
      <c r="D497">
        <v>7</v>
      </c>
      <c r="E497">
        <v>80</v>
      </c>
      <c r="F497">
        <v>5.2</v>
      </c>
      <c r="G497">
        <v>14.3</v>
      </c>
      <c r="H497" t="s">
        <v>70</v>
      </c>
    </row>
    <row r="498" spans="1:8">
      <c r="A498" t="s">
        <v>568</v>
      </c>
      <c r="B498" s="3">
        <v>46047.333333333336</v>
      </c>
      <c r="C498" t="s">
        <v>52</v>
      </c>
      <c r="D498">
        <v>9</v>
      </c>
      <c r="E498">
        <v>63</v>
      </c>
      <c r="F498">
        <v>5</v>
      </c>
      <c r="G498">
        <v>9.1</v>
      </c>
      <c r="H498" t="s">
        <v>70</v>
      </c>
    </row>
    <row r="499" spans="1:8">
      <c r="A499" t="s">
        <v>569</v>
      </c>
      <c r="B499" s="3">
        <v>46047.333333333336</v>
      </c>
      <c r="C499" t="s">
        <v>55</v>
      </c>
      <c r="D499">
        <v>10</v>
      </c>
      <c r="E499">
        <v>70</v>
      </c>
      <c r="F499">
        <v>3.7</v>
      </c>
      <c r="G499">
        <v>15.4</v>
      </c>
      <c r="H499" t="s">
        <v>70</v>
      </c>
    </row>
    <row r="500" spans="1:8">
      <c r="A500" t="s">
        <v>570</v>
      </c>
      <c r="B500" s="3">
        <v>46047.333333333336</v>
      </c>
      <c r="C500" t="s">
        <v>57</v>
      </c>
      <c r="D500">
        <v>8</v>
      </c>
      <c r="E500">
        <v>45</v>
      </c>
      <c r="F500">
        <v>4</v>
      </c>
      <c r="G500">
        <v>13.2</v>
      </c>
      <c r="H500" t="s">
        <v>70</v>
      </c>
    </row>
    <row r="501" spans="1:8">
      <c r="A501" t="s">
        <v>571</v>
      </c>
      <c r="B501" s="3">
        <v>46047.333333333336</v>
      </c>
      <c r="C501" t="s">
        <v>60</v>
      </c>
      <c r="D501">
        <v>10</v>
      </c>
      <c r="E501">
        <v>50</v>
      </c>
      <c r="F501">
        <v>4.0999999999999996</v>
      </c>
      <c r="G501">
        <v>9.4</v>
      </c>
      <c r="H501" t="s">
        <v>70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96FCB-F09F-4C6D-92AF-97158B034CE5}">
  <dimension ref="A1:K61"/>
  <sheetViews>
    <sheetView workbookViewId="0">
      <selection activeCell="C5" sqref="C5"/>
    </sheetView>
  </sheetViews>
  <sheetFormatPr defaultRowHeight="15"/>
  <cols>
    <col min="2" max="2" width="11.42578125" bestFit="1" customWidth="1"/>
    <col min="3" max="3" width="18.28515625" bestFit="1" customWidth="1"/>
    <col min="4" max="4" width="19.42578125" bestFit="1" customWidth="1"/>
    <col min="5" max="5" width="27.5703125" bestFit="1" customWidth="1"/>
    <col min="6" max="6" width="18.28515625" bestFit="1" customWidth="1"/>
    <col min="7" max="7" width="16" bestFit="1" customWidth="1"/>
    <col min="8" max="8" width="13.5703125" bestFit="1" customWidth="1"/>
    <col min="9" max="9" width="14.28515625" bestFit="1" customWidth="1"/>
    <col min="10" max="10" width="26" bestFit="1" customWidth="1"/>
    <col min="11" max="11" width="20.42578125" bestFit="1" customWidth="1"/>
  </cols>
  <sheetData>
    <row r="1" spans="1:11">
      <c r="A1" t="s">
        <v>572</v>
      </c>
      <c r="B1" t="s">
        <v>573</v>
      </c>
      <c r="C1" t="s">
        <v>0</v>
      </c>
      <c r="D1" t="s">
        <v>574</v>
      </c>
      <c r="E1" t="s">
        <v>575</v>
      </c>
      <c r="F1" t="s">
        <v>576</v>
      </c>
      <c r="G1" t="s">
        <v>577</v>
      </c>
      <c r="H1" t="s">
        <v>578</v>
      </c>
      <c r="I1" t="s">
        <v>579</v>
      </c>
      <c r="J1" s="6" t="s">
        <v>580</v>
      </c>
      <c r="K1" s="6" t="s">
        <v>581</v>
      </c>
    </row>
    <row r="2" spans="1:11">
      <c r="A2" t="s">
        <v>582</v>
      </c>
      <c r="B2" s="8">
        <v>46037</v>
      </c>
      <c r="C2" s="6" t="s">
        <v>28</v>
      </c>
      <c r="D2" s="6" t="s">
        <v>583</v>
      </c>
      <c r="E2" s="6" t="s">
        <v>584</v>
      </c>
      <c r="F2" s="6" t="s">
        <v>585</v>
      </c>
      <c r="G2">
        <v>8</v>
      </c>
      <c r="H2" s="9">
        <v>2503</v>
      </c>
      <c r="I2" s="6" t="s">
        <v>586</v>
      </c>
      <c r="K2" s="6" t="s">
        <v>8</v>
      </c>
    </row>
    <row r="3" spans="1:11">
      <c r="A3" t="s">
        <v>587</v>
      </c>
      <c r="B3" s="8">
        <v>46031</v>
      </c>
      <c r="C3" s="6" t="s">
        <v>42</v>
      </c>
      <c r="D3" s="6" t="s">
        <v>583</v>
      </c>
      <c r="E3" s="6" t="s">
        <v>588</v>
      </c>
      <c r="F3" s="6" t="s">
        <v>589</v>
      </c>
      <c r="G3">
        <v>7</v>
      </c>
      <c r="H3" s="9">
        <v>1842</v>
      </c>
      <c r="I3" s="6" t="s">
        <v>586</v>
      </c>
      <c r="K3" s="6" t="s">
        <v>13</v>
      </c>
    </row>
    <row r="4" spans="1:11">
      <c r="A4" t="s">
        <v>590</v>
      </c>
      <c r="B4" s="8">
        <v>46045</v>
      </c>
      <c r="C4" s="6" t="s">
        <v>47</v>
      </c>
      <c r="D4" s="6" t="s">
        <v>583</v>
      </c>
      <c r="E4" s="6" t="s">
        <v>588</v>
      </c>
      <c r="F4" s="6" t="s">
        <v>585</v>
      </c>
      <c r="G4">
        <v>3</v>
      </c>
      <c r="H4" s="9">
        <v>1560</v>
      </c>
      <c r="I4" s="6" t="s">
        <v>586</v>
      </c>
      <c r="K4" s="6" t="s">
        <v>15</v>
      </c>
    </row>
    <row r="5" spans="1:11">
      <c r="A5" t="s">
        <v>591</v>
      </c>
      <c r="B5" s="8">
        <v>46023</v>
      </c>
      <c r="C5" s="6" t="s">
        <v>20</v>
      </c>
      <c r="D5" s="6" t="s">
        <v>592</v>
      </c>
      <c r="E5" s="6" t="s">
        <v>593</v>
      </c>
      <c r="F5" s="6" t="s">
        <v>594</v>
      </c>
      <c r="G5">
        <v>3</v>
      </c>
      <c r="H5" s="9">
        <v>493</v>
      </c>
      <c r="I5" s="6" t="s">
        <v>586</v>
      </c>
      <c r="K5" s="6" t="s">
        <v>18</v>
      </c>
    </row>
    <row r="6" spans="1:11">
      <c r="A6" t="s">
        <v>595</v>
      </c>
      <c r="B6" s="8">
        <v>46031</v>
      </c>
      <c r="C6" s="6" t="s">
        <v>28</v>
      </c>
      <c r="D6" s="6" t="s">
        <v>583</v>
      </c>
      <c r="E6" s="6" t="s">
        <v>584</v>
      </c>
      <c r="F6" s="6" t="s">
        <v>585</v>
      </c>
      <c r="G6">
        <v>3</v>
      </c>
      <c r="H6" s="9">
        <v>1731</v>
      </c>
      <c r="I6" s="6" t="s">
        <v>586</v>
      </c>
      <c r="K6" s="6" t="s">
        <v>20</v>
      </c>
    </row>
    <row r="7" spans="1:11">
      <c r="A7" t="s">
        <v>596</v>
      </c>
      <c r="B7" s="8">
        <v>46036</v>
      </c>
      <c r="C7" s="10" t="s">
        <v>31</v>
      </c>
      <c r="D7" s="10" t="s">
        <v>583</v>
      </c>
      <c r="E7" s="10" t="s">
        <v>584</v>
      </c>
      <c r="F7" s="10" t="s">
        <v>585</v>
      </c>
      <c r="G7">
        <v>9</v>
      </c>
      <c r="H7" s="9">
        <v>1810</v>
      </c>
      <c r="I7" s="10" t="s">
        <v>586</v>
      </c>
      <c r="J7" s="10" t="s">
        <v>30</v>
      </c>
      <c r="K7" s="6" t="s">
        <v>24</v>
      </c>
    </row>
    <row r="8" spans="1:11">
      <c r="A8" t="s">
        <v>597</v>
      </c>
      <c r="B8" s="8">
        <v>46029</v>
      </c>
      <c r="C8" s="10" t="s">
        <v>28</v>
      </c>
      <c r="D8" s="10" t="s">
        <v>583</v>
      </c>
      <c r="E8" s="10" t="s">
        <v>584</v>
      </c>
      <c r="F8" s="10" t="s">
        <v>585</v>
      </c>
      <c r="G8">
        <v>7</v>
      </c>
      <c r="H8" s="9">
        <v>1379</v>
      </c>
      <c r="I8" s="10" t="s">
        <v>586</v>
      </c>
      <c r="J8" s="10" t="s">
        <v>30</v>
      </c>
      <c r="K8" s="6" t="s">
        <v>26</v>
      </c>
    </row>
    <row r="9" spans="1:11">
      <c r="A9" t="s">
        <v>598</v>
      </c>
      <c r="B9" s="8">
        <v>46029</v>
      </c>
      <c r="C9" s="10" t="s">
        <v>15</v>
      </c>
      <c r="D9" s="10" t="s">
        <v>592</v>
      </c>
      <c r="E9" s="10" t="s">
        <v>599</v>
      </c>
      <c r="F9" s="10" t="s">
        <v>589</v>
      </c>
      <c r="G9">
        <v>2</v>
      </c>
      <c r="H9" s="9">
        <v>944</v>
      </c>
      <c r="I9" s="10" t="s">
        <v>586</v>
      </c>
      <c r="J9" s="10" t="s">
        <v>10</v>
      </c>
      <c r="K9" s="6" t="s">
        <v>28</v>
      </c>
    </row>
    <row r="10" spans="1:11">
      <c r="A10" t="s">
        <v>600</v>
      </c>
      <c r="B10" s="8">
        <v>46023</v>
      </c>
      <c r="C10" s="10" t="s">
        <v>38</v>
      </c>
      <c r="D10" s="10" t="s">
        <v>583</v>
      </c>
      <c r="E10" s="10" t="s">
        <v>601</v>
      </c>
      <c r="F10" s="10" t="s">
        <v>602</v>
      </c>
      <c r="G10">
        <v>3</v>
      </c>
      <c r="H10" s="9">
        <v>440</v>
      </c>
      <c r="I10" s="10" t="s">
        <v>586</v>
      </c>
      <c r="J10" s="10" t="s">
        <v>35</v>
      </c>
      <c r="K10" s="6" t="s">
        <v>28</v>
      </c>
    </row>
    <row r="11" spans="1:11">
      <c r="A11" t="s">
        <v>603</v>
      </c>
      <c r="B11" s="8">
        <v>46046</v>
      </c>
      <c r="C11" s="10" t="s">
        <v>47</v>
      </c>
      <c r="D11" s="10" t="s">
        <v>592</v>
      </c>
      <c r="E11" s="10" t="s">
        <v>593</v>
      </c>
      <c r="F11" s="10" t="s">
        <v>585</v>
      </c>
      <c r="G11">
        <v>4</v>
      </c>
      <c r="H11" s="9">
        <v>1342</v>
      </c>
      <c r="I11" s="10" t="s">
        <v>586</v>
      </c>
      <c r="J11" s="10" t="s">
        <v>49</v>
      </c>
      <c r="K11" s="6" t="s">
        <v>28</v>
      </c>
    </row>
    <row r="12" spans="1:11">
      <c r="A12" t="s">
        <v>604</v>
      </c>
      <c r="B12" s="8">
        <v>46025</v>
      </c>
      <c r="C12" s="10" t="s">
        <v>24</v>
      </c>
      <c r="D12" s="10" t="s">
        <v>592</v>
      </c>
      <c r="E12" s="10" t="s">
        <v>599</v>
      </c>
      <c r="F12" s="10" t="s">
        <v>589</v>
      </c>
      <c r="G12">
        <v>2</v>
      </c>
      <c r="H12" s="9">
        <v>676</v>
      </c>
      <c r="I12" s="10" t="s">
        <v>586</v>
      </c>
      <c r="J12" s="10" t="s">
        <v>22</v>
      </c>
      <c r="K12" s="6" t="s">
        <v>28</v>
      </c>
    </row>
    <row r="13" spans="1:11">
      <c r="A13" t="s">
        <v>605</v>
      </c>
      <c r="B13" s="8">
        <v>46039</v>
      </c>
      <c r="C13" s="10" t="s">
        <v>42</v>
      </c>
      <c r="D13" s="10" t="s">
        <v>583</v>
      </c>
      <c r="E13" s="10" t="s">
        <v>588</v>
      </c>
      <c r="F13" s="10" t="s">
        <v>589</v>
      </c>
      <c r="G13">
        <v>5</v>
      </c>
      <c r="H13" s="9">
        <v>1146</v>
      </c>
      <c r="I13" s="10" t="s">
        <v>586</v>
      </c>
      <c r="J13" s="10" t="s">
        <v>44</v>
      </c>
      <c r="K13" s="6" t="s">
        <v>31</v>
      </c>
    </row>
    <row r="14" spans="1:11">
      <c r="A14" t="s">
        <v>606</v>
      </c>
      <c r="B14" s="8">
        <v>46041</v>
      </c>
      <c r="C14" s="10" t="s">
        <v>36</v>
      </c>
      <c r="D14" s="10" t="s">
        <v>592</v>
      </c>
      <c r="E14" s="10" t="s">
        <v>593</v>
      </c>
      <c r="F14" s="10" t="s">
        <v>585</v>
      </c>
      <c r="G14">
        <v>3</v>
      </c>
      <c r="H14" s="9">
        <v>910</v>
      </c>
      <c r="I14" s="10" t="s">
        <v>586</v>
      </c>
      <c r="J14" s="10" t="s">
        <v>35</v>
      </c>
      <c r="K14" s="6" t="s">
        <v>33</v>
      </c>
    </row>
    <row r="15" spans="1:11">
      <c r="A15" t="s">
        <v>607</v>
      </c>
      <c r="B15" s="8">
        <v>46041</v>
      </c>
      <c r="C15" s="10" t="s">
        <v>33</v>
      </c>
      <c r="D15" s="10" t="s">
        <v>583</v>
      </c>
      <c r="E15" s="10" t="s">
        <v>601</v>
      </c>
      <c r="F15" s="10" t="s">
        <v>602</v>
      </c>
      <c r="G15">
        <v>3</v>
      </c>
      <c r="H15" s="9">
        <v>565</v>
      </c>
      <c r="I15" s="10" t="s">
        <v>608</v>
      </c>
      <c r="J15" s="10" t="s">
        <v>35</v>
      </c>
      <c r="K15" s="6" t="s">
        <v>36</v>
      </c>
    </row>
    <row r="16" spans="1:11">
      <c r="A16" t="s">
        <v>609</v>
      </c>
      <c r="B16" s="8">
        <v>46039</v>
      </c>
      <c r="C16" s="10" t="s">
        <v>26</v>
      </c>
      <c r="D16" s="10" t="s">
        <v>583</v>
      </c>
      <c r="E16" s="10" t="s">
        <v>610</v>
      </c>
      <c r="F16" s="10" t="s">
        <v>594</v>
      </c>
      <c r="G16">
        <v>3</v>
      </c>
      <c r="H16" s="9">
        <v>779</v>
      </c>
      <c r="I16" s="10" t="s">
        <v>586</v>
      </c>
      <c r="J16" s="10" t="s">
        <v>22</v>
      </c>
      <c r="K16" s="6" t="s">
        <v>38</v>
      </c>
    </row>
    <row r="17" spans="1:11">
      <c r="A17" t="s">
        <v>611</v>
      </c>
      <c r="B17" s="8">
        <v>46034</v>
      </c>
      <c r="C17" s="10" t="s">
        <v>52</v>
      </c>
      <c r="D17" s="10" t="s">
        <v>583</v>
      </c>
      <c r="E17" s="10" t="s">
        <v>588</v>
      </c>
      <c r="F17" s="10" t="s">
        <v>589</v>
      </c>
      <c r="G17">
        <v>8</v>
      </c>
      <c r="H17" s="9">
        <v>1505</v>
      </c>
      <c r="I17" s="10" t="s">
        <v>586</v>
      </c>
      <c r="J17" s="10" t="s">
        <v>54</v>
      </c>
      <c r="K17" s="6" t="s">
        <v>42</v>
      </c>
    </row>
    <row r="18" spans="1:11">
      <c r="A18" t="s">
        <v>612</v>
      </c>
      <c r="B18" s="8">
        <v>46036</v>
      </c>
      <c r="C18" s="10" t="s">
        <v>55</v>
      </c>
      <c r="D18" s="10" t="s">
        <v>592</v>
      </c>
      <c r="E18" s="10" t="s">
        <v>593</v>
      </c>
      <c r="F18" s="10" t="s">
        <v>585</v>
      </c>
      <c r="G18">
        <v>3</v>
      </c>
      <c r="H18" s="9">
        <v>1004</v>
      </c>
      <c r="I18" s="10" t="s">
        <v>586</v>
      </c>
      <c r="J18" s="10" t="s">
        <v>54</v>
      </c>
      <c r="K18" s="6" t="s">
        <v>42</v>
      </c>
    </row>
    <row r="19" spans="1:11">
      <c r="A19" t="s">
        <v>613</v>
      </c>
      <c r="B19" s="8">
        <v>46047</v>
      </c>
      <c r="C19" s="10" t="s">
        <v>57</v>
      </c>
      <c r="D19" s="10" t="s">
        <v>592</v>
      </c>
      <c r="E19" s="10" t="s">
        <v>599</v>
      </c>
      <c r="F19" s="10" t="s">
        <v>589</v>
      </c>
      <c r="G19">
        <v>2</v>
      </c>
      <c r="H19" s="9">
        <v>672</v>
      </c>
      <c r="I19" s="10" t="s">
        <v>586</v>
      </c>
      <c r="J19" s="10" t="s">
        <v>59</v>
      </c>
      <c r="K19" s="6" t="s">
        <v>42</v>
      </c>
    </row>
    <row r="20" spans="1:11">
      <c r="A20" t="s">
        <v>614</v>
      </c>
      <c r="B20" s="8">
        <v>46032</v>
      </c>
      <c r="C20" s="10" t="s">
        <v>45</v>
      </c>
      <c r="D20" s="10" t="s">
        <v>592</v>
      </c>
      <c r="E20" s="10" t="s">
        <v>599</v>
      </c>
      <c r="F20" s="10" t="s">
        <v>589</v>
      </c>
      <c r="G20">
        <v>3</v>
      </c>
      <c r="H20" s="9">
        <v>732</v>
      </c>
      <c r="I20" s="10" t="s">
        <v>586</v>
      </c>
      <c r="J20" s="10" t="s">
        <v>44</v>
      </c>
      <c r="K20" s="6" t="s">
        <v>42</v>
      </c>
    </row>
    <row r="21" spans="1:11">
      <c r="A21" t="s">
        <v>615</v>
      </c>
      <c r="B21" s="8">
        <v>46034</v>
      </c>
      <c r="C21" s="10" t="s">
        <v>38</v>
      </c>
      <c r="D21" s="10" t="s">
        <v>592</v>
      </c>
      <c r="E21" s="10" t="s">
        <v>593</v>
      </c>
      <c r="F21" s="10" t="s">
        <v>585</v>
      </c>
      <c r="G21">
        <v>1</v>
      </c>
      <c r="H21" s="9">
        <v>743</v>
      </c>
      <c r="I21" s="10" t="s">
        <v>586</v>
      </c>
      <c r="J21" s="10" t="s">
        <v>35</v>
      </c>
      <c r="K21" s="6" t="s">
        <v>45</v>
      </c>
    </row>
    <row r="22" spans="1:11">
      <c r="A22" t="s">
        <v>616</v>
      </c>
      <c r="B22" s="8">
        <v>46028</v>
      </c>
      <c r="C22" s="10" t="s">
        <v>28</v>
      </c>
      <c r="D22" s="10" t="s">
        <v>583</v>
      </c>
      <c r="E22" s="10" t="s">
        <v>584</v>
      </c>
      <c r="F22" s="10" t="s">
        <v>585</v>
      </c>
      <c r="G22">
        <v>9</v>
      </c>
      <c r="H22" s="9">
        <v>1661</v>
      </c>
      <c r="I22" s="10" t="s">
        <v>586</v>
      </c>
      <c r="J22" s="10" t="s">
        <v>30</v>
      </c>
      <c r="K22" s="6" t="s">
        <v>47</v>
      </c>
    </row>
    <row r="23" spans="1:11">
      <c r="A23" t="s">
        <v>617</v>
      </c>
      <c r="B23" s="8">
        <v>46045</v>
      </c>
      <c r="C23" s="10" t="s">
        <v>28</v>
      </c>
      <c r="D23" s="10" t="s">
        <v>583</v>
      </c>
      <c r="E23" s="10" t="s">
        <v>584</v>
      </c>
      <c r="F23" s="10" t="s">
        <v>585</v>
      </c>
      <c r="G23">
        <v>5</v>
      </c>
      <c r="H23" s="9">
        <v>1238</v>
      </c>
      <c r="I23" s="10" t="s">
        <v>586</v>
      </c>
      <c r="J23" s="10" t="s">
        <v>30</v>
      </c>
      <c r="K23" s="6" t="s">
        <v>47</v>
      </c>
    </row>
    <row r="24" spans="1:11">
      <c r="A24" t="s">
        <v>618</v>
      </c>
      <c r="B24" s="8">
        <v>46024</v>
      </c>
      <c r="C24" s="10" t="s">
        <v>50</v>
      </c>
      <c r="D24" s="10" t="s">
        <v>592</v>
      </c>
      <c r="E24" s="10" t="s">
        <v>593</v>
      </c>
      <c r="F24" s="10" t="s">
        <v>585</v>
      </c>
      <c r="G24">
        <v>1</v>
      </c>
      <c r="H24" s="9">
        <v>962</v>
      </c>
      <c r="I24" s="10" t="s">
        <v>586</v>
      </c>
      <c r="J24" s="10" t="s">
        <v>49</v>
      </c>
      <c r="K24" s="6" t="s">
        <v>47</v>
      </c>
    </row>
    <row r="25" spans="1:11">
      <c r="A25" t="s">
        <v>619</v>
      </c>
      <c r="B25" s="8">
        <v>46031</v>
      </c>
      <c r="C25" s="10" t="s">
        <v>28</v>
      </c>
      <c r="D25" s="10" t="s">
        <v>583</v>
      </c>
      <c r="E25" s="10" t="s">
        <v>584</v>
      </c>
      <c r="F25" s="10" t="s">
        <v>585</v>
      </c>
      <c r="G25">
        <v>5</v>
      </c>
      <c r="H25" s="9">
        <v>1477</v>
      </c>
      <c r="I25" s="10" t="s">
        <v>586</v>
      </c>
      <c r="J25" s="10" t="s">
        <v>30</v>
      </c>
      <c r="K25" s="6" t="s">
        <v>47</v>
      </c>
    </row>
    <row r="26" spans="1:11">
      <c r="A26" t="s">
        <v>620</v>
      </c>
      <c r="B26" s="8">
        <v>46026</v>
      </c>
      <c r="C26" s="10" t="s">
        <v>38</v>
      </c>
      <c r="D26" s="10" t="s">
        <v>583</v>
      </c>
      <c r="E26" s="10" t="s">
        <v>601</v>
      </c>
      <c r="F26" s="10" t="s">
        <v>602</v>
      </c>
      <c r="G26">
        <v>7</v>
      </c>
      <c r="H26" s="9">
        <v>713</v>
      </c>
      <c r="I26" s="10" t="s">
        <v>586</v>
      </c>
      <c r="J26" s="10" t="s">
        <v>35</v>
      </c>
      <c r="K26" s="6" t="s">
        <v>50</v>
      </c>
    </row>
    <row r="27" spans="1:11">
      <c r="A27" t="s">
        <v>621</v>
      </c>
      <c r="B27" s="8">
        <v>46033</v>
      </c>
      <c r="C27" s="10" t="s">
        <v>42</v>
      </c>
      <c r="D27" s="10" t="s">
        <v>583</v>
      </c>
      <c r="E27" s="10" t="s">
        <v>588</v>
      </c>
      <c r="F27" s="10" t="s">
        <v>589</v>
      </c>
      <c r="G27">
        <v>6</v>
      </c>
      <c r="H27" s="9">
        <v>1368</v>
      </c>
      <c r="I27" s="10" t="s">
        <v>586</v>
      </c>
      <c r="J27" s="10" t="s">
        <v>44</v>
      </c>
      <c r="K27" s="6" t="s">
        <v>52</v>
      </c>
    </row>
    <row r="28" spans="1:11">
      <c r="A28" t="s">
        <v>622</v>
      </c>
      <c r="B28" s="8">
        <v>46029</v>
      </c>
      <c r="C28" s="10" t="s">
        <v>31</v>
      </c>
      <c r="D28" s="10" t="s">
        <v>592</v>
      </c>
      <c r="E28" s="10" t="s">
        <v>599</v>
      </c>
      <c r="F28" s="10" t="s">
        <v>589</v>
      </c>
      <c r="G28">
        <v>3</v>
      </c>
      <c r="H28" s="9">
        <v>960</v>
      </c>
      <c r="I28" s="10" t="s">
        <v>586</v>
      </c>
      <c r="J28" s="10" t="s">
        <v>30</v>
      </c>
      <c r="K28" s="6" t="s">
        <v>55</v>
      </c>
    </row>
    <row r="29" spans="1:11">
      <c r="A29" t="s">
        <v>623</v>
      </c>
      <c r="B29" s="8">
        <v>46025</v>
      </c>
      <c r="C29" s="10" t="s">
        <v>15</v>
      </c>
      <c r="D29" s="10" t="s">
        <v>592</v>
      </c>
      <c r="E29" s="10" t="s">
        <v>593</v>
      </c>
      <c r="F29" s="10" t="s">
        <v>585</v>
      </c>
      <c r="G29">
        <v>3</v>
      </c>
      <c r="H29" s="9">
        <v>1104</v>
      </c>
      <c r="I29" s="10" t="s">
        <v>586</v>
      </c>
      <c r="J29" s="10" t="s">
        <v>10</v>
      </c>
      <c r="K29" s="6" t="s">
        <v>57</v>
      </c>
    </row>
    <row r="30" spans="1:11">
      <c r="A30" t="s">
        <v>624</v>
      </c>
      <c r="B30" s="8">
        <v>46035</v>
      </c>
      <c r="C30" s="10" t="s">
        <v>8</v>
      </c>
      <c r="D30" s="10" t="s">
        <v>592</v>
      </c>
      <c r="E30" s="10" t="s">
        <v>593</v>
      </c>
      <c r="F30" s="10" t="s">
        <v>585</v>
      </c>
      <c r="G30">
        <v>1</v>
      </c>
      <c r="H30" s="9">
        <v>652</v>
      </c>
      <c r="I30" s="10" t="s">
        <v>586</v>
      </c>
      <c r="J30" s="10" t="s">
        <v>10</v>
      </c>
      <c r="K30" s="6" t="s">
        <v>60</v>
      </c>
    </row>
    <row r="31" spans="1:11">
      <c r="A31" t="s">
        <v>625</v>
      </c>
      <c r="B31" s="8">
        <v>46041</v>
      </c>
      <c r="C31" s="10" t="s">
        <v>31</v>
      </c>
      <c r="D31" s="10" t="s">
        <v>592</v>
      </c>
      <c r="E31" s="10" t="s">
        <v>593</v>
      </c>
      <c r="F31" s="10" t="s">
        <v>585</v>
      </c>
      <c r="G31">
        <v>3</v>
      </c>
      <c r="H31" s="9">
        <v>1127</v>
      </c>
      <c r="I31" s="10" t="s">
        <v>586</v>
      </c>
      <c r="J31" s="10" t="s">
        <v>30</v>
      </c>
    </row>
    <row r="32" spans="1:11">
      <c r="A32" t="s">
        <v>626</v>
      </c>
      <c r="B32" s="8">
        <v>46028</v>
      </c>
      <c r="C32" s="10" t="s">
        <v>47</v>
      </c>
      <c r="D32" s="10" t="s">
        <v>583</v>
      </c>
      <c r="E32" s="10" t="s">
        <v>627</v>
      </c>
      <c r="F32" s="10" t="s">
        <v>585</v>
      </c>
      <c r="G32">
        <v>9</v>
      </c>
      <c r="H32" s="9">
        <v>1592</v>
      </c>
      <c r="I32" s="10" t="s">
        <v>586</v>
      </c>
      <c r="J32" s="10" t="s">
        <v>49</v>
      </c>
    </row>
    <row r="33" spans="1:10">
      <c r="A33" t="s">
        <v>628</v>
      </c>
      <c r="B33" s="8">
        <v>46035</v>
      </c>
      <c r="C33" s="10" t="s">
        <v>36</v>
      </c>
      <c r="D33" s="10" t="s">
        <v>592</v>
      </c>
      <c r="E33" s="10" t="s">
        <v>593</v>
      </c>
      <c r="F33" s="10" t="s">
        <v>585</v>
      </c>
      <c r="G33">
        <v>2</v>
      </c>
      <c r="H33" s="9">
        <v>1030</v>
      </c>
      <c r="I33" s="10" t="s">
        <v>608</v>
      </c>
      <c r="J33" s="10" t="s">
        <v>35</v>
      </c>
    </row>
    <row r="34" spans="1:10">
      <c r="A34" t="s">
        <v>629</v>
      </c>
      <c r="B34" s="8">
        <v>46043</v>
      </c>
      <c r="C34" s="10" t="s">
        <v>42</v>
      </c>
      <c r="D34" s="10" t="s">
        <v>583</v>
      </c>
      <c r="E34" s="10" t="s">
        <v>588</v>
      </c>
      <c r="F34" s="10" t="s">
        <v>589</v>
      </c>
      <c r="G34">
        <v>6</v>
      </c>
      <c r="H34" s="9">
        <v>1239</v>
      </c>
      <c r="I34" s="10" t="s">
        <v>586</v>
      </c>
      <c r="J34" s="10" t="s">
        <v>44</v>
      </c>
    </row>
    <row r="35" spans="1:10">
      <c r="A35" t="s">
        <v>630</v>
      </c>
      <c r="B35" s="8">
        <v>46043</v>
      </c>
      <c r="C35" s="10" t="s">
        <v>42</v>
      </c>
      <c r="D35" s="10" t="s">
        <v>583</v>
      </c>
      <c r="E35" s="10" t="s">
        <v>588</v>
      </c>
      <c r="F35" s="10" t="s">
        <v>589</v>
      </c>
      <c r="G35">
        <v>4</v>
      </c>
      <c r="H35" s="9">
        <v>809</v>
      </c>
      <c r="I35" s="10" t="s">
        <v>586</v>
      </c>
      <c r="J35" s="10" t="s">
        <v>44</v>
      </c>
    </row>
    <row r="36" spans="1:10">
      <c r="A36" t="s">
        <v>631</v>
      </c>
      <c r="B36" s="8">
        <v>46026</v>
      </c>
      <c r="C36" s="10" t="s">
        <v>45</v>
      </c>
      <c r="D36" s="10" t="s">
        <v>592</v>
      </c>
      <c r="E36" s="10" t="s">
        <v>593</v>
      </c>
      <c r="F36" s="10" t="s">
        <v>585</v>
      </c>
      <c r="G36">
        <v>3</v>
      </c>
      <c r="H36" s="9">
        <v>1060</v>
      </c>
      <c r="I36" s="10" t="s">
        <v>586</v>
      </c>
      <c r="J36" s="10" t="s">
        <v>44</v>
      </c>
    </row>
    <row r="37" spans="1:10">
      <c r="A37" t="s">
        <v>632</v>
      </c>
      <c r="B37" s="8">
        <v>46026</v>
      </c>
      <c r="C37" s="10" t="s">
        <v>18</v>
      </c>
      <c r="D37" s="10" t="s">
        <v>592</v>
      </c>
      <c r="E37" s="10" t="s">
        <v>593</v>
      </c>
      <c r="F37" s="10" t="s">
        <v>585</v>
      </c>
      <c r="G37">
        <v>4</v>
      </c>
      <c r="H37" s="9">
        <v>1367</v>
      </c>
      <c r="I37" s="10" t="s">
        <v>586</v>
      </c>
      <c r="J37" s="10" t="s">
        <v>10</v>
      </c>
    </row>
    <row r="38" spans="1:10">
      <c r="A38" t="s">
        <v>633</v>
      </c>
      <c r="B38" s="8">
        <v>46024</v>
      </c>
      <c r="C38" s="10" t="s">
        <v>38</v>
      </c>
      <c r="D38" s="10" t="s">
        <v>592</v>
      </c>
      <c r="E38" s="10" t="s">
        <v>599</v>
      </c>
      <c r="F38" s="10" t="s">
        <v>589</v>
      </c>
      <c r="G38">
        <v>2</v>
      </c>
      <c r="H38" s="9">
        <v>995</v>
      </c>
      <c r="I38" s="10" t="s">
        <v>586</v>
      </c>
      <c r="J38" s="10" t="s">
        <v>35</v>
      </c>
    </row>
    <row r="39" spans="1:10">
      <c r="A39" t="s">
        <v>634</v>
      </c>
      <c r="B39" s="8">
        <v>46024</v>
      </c>
      <c r="C39" s="10" t="s">
        <v>8</v>
      </c>
      <c r="D39" s="10" t="s">
        <v>583</v>
      </c>
      <c r="E39" s="10" t="s">
        <v>584</v>
      </c>
      <c r="F39" s="10" t="s">
        <v>585</v>
      </c>
      <c r="G39">
        <v>5</v>
      </c>
      <c r="H39" s="9">
        <v>1227</v>
      </c>
      <c r="I39" s="10" t="s">
        <v>586</v>
      </c>
      <c r="J39" s="10" t="s">
        <v>10</v>
      </c>
    </row>
    <row r="40" spans="1:10">
      <c r="A40" t="s">
        <v>635</v>
      </c>
      <c r="B40" s="8">
        <v>46041</v>
      </c>
      <c r="C40" s="10" t="s">
        <v>20</v>
      </c>
      <c r="D40" s="10" t="s">
        <v>592</v>
      </c>
      <c r="E40" s="10" t="s">
        <v>599</v>
      </c>
      <c r="F40" s="10" t="s">
        <v>589</v>
      </c>
      <c r="G40">
        <v>1</v>
      </c>
      <c r="H40" s="9">
        <v>841</v>
      </c>
      <c r="I40" s="10" t="s">
        <v>586</v>
      </c>
      <c r="J40" s="10" t="s">
        <v>22</v>
      </c>
    </row>
    <row r="41" spans="1:10">
      <c r="A41" t="s">
        <v>636</v>
      </c>
      <c r="B41" s="8">
        <v>46025</v>
      </c>
      <c r="C41" s="10" t="s">
        <v>8</v>
      </c>
      <c r="D41" s="10" t="s">
        <v>592</v>
      </c>
      <c r="E41" s="10" t="s">
        <v>593</v>
      </c>
      <c r="F41" s="10" t="s">
        <v>585</v>
      </c>
      <c r="G41">
        <v>3</v>
      </c>
      <c r="H41" s="9">
        <v>1030</v>
      </c>
      <c r="I41" s="10" t="s">
        <v>586</v>
      </c>
      <c r="J41" s="10" t="s">
        <v>10</v>
      </c>
    </row>
    <row r="42" spans="1:10">
      <c r="A42" t="s">
        <v>637</v>
      </c>
      <c r="B42" s="8">
        <v>46046</v>
      </c>
      <c r="C42" s="10" t="s">
        <v>24</v>
      </c>
      <c r="D42" s="10" t="s">
        <v>592</v>
      </c>
      <c r="E42" s="10" t="s">
        <v>593</v>
      </c>
      <c r="F42" s="10" t="s">
        <v>585</v>
      </c>
      <c r="G42">
        <v>2</v>
      </c>
      <c r="H42" s="9">
        <v>1055</v>
      </c>
      <c r="I42" s="10" t="s">
        <v>586</v>
      </c>
      <c r="J42" s="10" t="s">
        <v>22</v>
      </c>
    </row>
    <row r="43" spans="1:10">
      <c r="A43" t="s">
        <v>638</v>
      </c>
      <c r="B43" s="8">
        <v>46025</v>
      </c>
      <c r="C43" s="10" t="s">
        <v>28</v>
      </c>
      <c r="D43" s="10" t="s">
        <v>583</v>
      </c>
      <c r="E43" s="10" t="s">
        <v>584</v>
      </c>
      <c r="F43" s="10" t="s">
        <v>585</v>
      </c>
      <c r="G43">
        <v>9</v>
      </c>
      <c r="H43" s="9">
        <v>1763</v>
      </c>
      <c r="I43" s="10" t="s">
        <v>586</v>
      </c>
      <c r="J43" s="10" t="s">
        <v>30</v>
      </c>
    </row>
    <row r="44" spans="1:10">
      <c r="A44" t="s">
        <v>639</v>
      </c>
      <c r="B44" s="8">
        <v>46040</v>
      </c>
      <c r="C44" s="10" t="s">
        <v>13</v>
      </c>
      <c r="D44" s="10" t="s">
        <v>592</v>
      </c>
      <c r="E44" s="10" t="s">
        <v>599</v>
      </c>
      <c r="F44" s="10" t="s">
        <v>589</v>
      </c>
      <c r="G44">
        <v>1</v>
      </c>
      <c r="H44" s="9">
        <v>818</v>
      </c>
      <c r="I44" s="10" t="s">
        <v>586</v>
      </c>
      <c r="J44" s="10" t="s">
        <v>10</v>
      </c>
    </row>
    <row r="45" spans="1:10">
      <c r="A45" t="s">
        <v>640</v>
      </c>
      <c r="B45" s="8">
        <v>46038</v>
      </c>
      <c r="C45" s="10" t="s">
        <v>28</v>
      </c>
      <c r="D45" s="10" t="s">
        <v>583</v>
      </c>
      <c r="E45" s="10" t="s">
        <v>584</v>
      </c>
      <c r="F45" s="10" t="s">
        <v>585</v>
      </c>
      <c r="G45">
        <v>8</v>
      </c>
      <c r="H45" s="9">
        <v>1579</v>
      </c>
      <c r="I45" s="10" t="s">
        <v>586</v>
      </c>
      <c r="J45" s="10" t="s">
        <v>30</v>
      </c>
    </row>
    <row r="46" spans="1:10">
      <c r="A46" t="s">
        <v>641</v>
      </c>
      <c r="B46" s="8">
        <v>46046</v>
      </c>
      <c r="C46" s="10" t="s">
        <v>42</v>
      </c>
      <c r="D46" s="10" t="s">
        <v>583</v>
      </c>
      <c r="E46" s="10" t="s">
        <v>588</v>
      </c>
      <c r="F46" s="10" t="s">
        <v>589</v>
      </c>
      <c r="G46">
        <v>5</v>
      </c>
      <c r="H46" s="9">
        <v>942</v>
      </c>
      <c r="I46" s="10" t="s">
        <v>586</v>
      </c>
      <c r="J46" s="10" t="s">
        <v>44</v>
      </c>
    </row>
    <row r="47" spans="1:10">
      <c r="A47" t="s">
        <v>642</v>
      </c>
      <c r="B47" s="8">
        <v>46036</v>
      </c>
      <c r="C47" s="10" t="s">
        <v>28</v>
      </c>
      <c r="D47" s="10" t="s">
        <v>583</v>
      </c>
      <c r="E47" s="10" t="s">
        <v>584</v>
      </c>
      <c r="F47" s="10" t="s">
        <v>585</v>
      </c>
      <c r="G47">
        <v>5</v>
      </c>
      <c r="H47" s="9">
        <v>1489</v>
      </c>
      <c r="I47" s="10" t="s">
        <v>586</v>
      </c>
      <c r="J47" s="10" t="s">
        <v>30</v>
      </c>
    </row>
    <row r="48" spans="1:10">
      <c r="A48" t="s">
        <v>643</v>
      </c>
      <c r="B48" s="8">
        <v>46043</v>
      </c>
      <c r="C48" s="10" t="s">
        <v>31</v>
      </c>
      <c r="D48" s="10" t="s">
        <v>592</v>
      </c>
      <c r="E48" s="10" t="s">
        <v>593</v>
      </c>
      <c r="F48" s="10" t="s">
        <v>585</v>
      </c>
      <c r="G48">
        <v>1</v>
      </c>
      <c r="H48" s="9">
        <v>675</v>
      </c>
      <c r="I48" s="10" t="s">
        <v>586</v>
      </c>
      <c r="J48" s="10" t="s">
        <v>30</v>
      </c>
    </row>
    <row r="49" spans="1:10">
      <c r="A49" t="s">
        <v>644</v>
      </c>
      <c r="B49" s="8">
        <v>46024</v>
      </c>
      <c r="C49" s="10" t="s">
        <v>38</v>
      </c>
      <c r="D49" s="10" t="s">
        <v>583</v>
      </c>
      <c r="E49" s="10" t="s">
        <v>601</v>
      </c>
      <c r="F49" s="10" t="s">
        <v>602</v>
      </c>
      <c r="G49">
        <v>3</v>
      </c>
      <c r="H49" s="9">
        <v>494</v>
      </c>
      <c r="I49" s="10" t="s">
        <v>586</v>
      </c>
      <c r="J49" s="10" t="s">
        <v>35</v>
      </c>
    </row>
    <row r="50" spans="1:10">
      <c r="A50" t="s">
        <v>645</v>
      </c>
      <c r="B50" s="8">
        <v>46026</v>
      </c>
      <c r="C50" s="10" t="s">
        <v>28</v>
      </c>
      <c r="D50" s="10" t="s">
        <v>583</v>
      </c>
      <c r="E50" s="10" t="s">
        <v>584</v>
      </c>
      <c r="F50" s="10" t="s">
        <v>585</v>
      </c>
      <c r="G50">
        <v>7</v>
      </c>
      <c r="H50" s="9">
        <v>1574</v>
      </c>
      <c r="I50" s="10" t="s">
        <v>586</v>
      </c>
      <c r="J50" s="10" t="s">
        <v>30</v>
      </c>
    </row>
    <row r="51" spans="1:10">
      <c r="A51" t="s">
        <v>646</v>
      </c>
      <c r="B51" s="8">
        <v>46038</v>
      </c>
      <c r="C51" s="10" t="s">
        <v>38</v>
      </c>
      <c r="D51" s="10" t="s">
        <v>583</v>
      </c>
      <c r="E51" s="10" t="s">
        <v>601</v>
      </c>
      <c r="F51" s="10" t="s">
        <v>602</v>
      </c>
      <c r="G51">
        <v>5</v>
      </c>
      <c r="H51" s="9">
        <v>578</v>
      </c>
      <c r="I51" s="10" t="s">
        <v>586</v>
      </c>
      <c r="J51" s="10" t="s">
        <v>35</v>
      </c>
    </row>
    <row r="52" spans="1:10">
      <c r="A52" t="s">
        <v>647</v>
      </c>
      <c r="B52" s="8">
        <v>46023</v>
      </c>
      <c r="C52" s="10" t="s">
        <v>15</v>
      </c>
      <c r="D52" s="10" t="s">
        <v>583</v>
      </c>
      <c r="E52" s="10" t="s">
        <v>584</v>
      </c>
      <c r="F52" s="10" t="s">
        <v>585</v>
      </c>
      <c r="G52">
        <v>5</v>
      </c>
      <c r="H52" s="9">
        <v>1477</v>
      </c>
      <c r="I52" s="10" t="s">
        <v>586</v>
      </c>
      <c r="J52" s="10" t="s">
        <v>10</v>
      </c>
    </row>
    <row r="53" spans="1:10">
      <c r="A53" t="s">
        <v>648</v>
      </c>
      <c r="B53" s="8">
        <v>46041</v>
      </c>
      <c r="C53" s="10" t="s">
        <v>47</v>
      </c>
      <c r="D53" s="10" t="s">
        <v>583</v>
      </c>
      <c r="E53" s="10" t="s">
        <v>627</v>
      </c>
      <c r="F53" s="10" t="s">
        <v>585</v>
      </c>
      <c r="G53">
        <v>6</v>
      </c>
      <c r="H53" s="9">
        <v>1263</v>
      </c>
      <c r="I53" s="10" t="s">
        <v>586</v>
      </c>
      <c r="J53" s="10" t="s">
        <v>49</v>
      </c>
    </row>
    <row r="54" spans="1:10">
      <c r="A54" t="s">
        <v>649</v>
      </c>
      <c r="B54" s="8">
        <v>46032</v>
      </c>
      <c r="C54" s="10" t="s">
        <v>38</v>
      </c>
      <c r="D54" s="10" t="s">
        <v>583</v>
      </c>
      <c r="E54" s="10" t="s">
        <v>601</v>
      </c>
      <c r="F54" s="10" t="s">
        <v>602</v>
      </c>
      <c r="G54">
        <v>7</v>
      </c>
      <c r="H54" s="9">
        <v>903</v>
      </c>
      <c r="I54" s="10" t="s">
        <v>586</v>
      </c>
      <c r="J54" s="10" t="s">
        <v>35</v>
      </c>
    </row>
    <row r="55" spans="1:10">
      <c r="A55" t="s">
        <v>650</v>
      </c>
      <c r="B55" s="8">
        <v>46039</v>
      </c>
      <c r="C55" s="10" t="s">
        <v>31</v>
      </c>
      <c r="D55" s="10" t="s">
        <v>592</v>
      </c>
      <c r="E55" s="10" t="s">
        <v>593</v>
      </c>
      <c r="F55" s="10" t="s">
        <v>585</v>
      </c>
      <c r="G55">
        <v>3</v>
      </c>
      <c r="H55" s="9">
        <v>869</v>
      </c>
      <c r="I55" s="10" t="s">
        <v>586</v>
      </c>
      <c r="J55" s="10" t="s">
        <v>30</v>
      </c>
    </row>
    <row r="56" spans="1:10">
      <c r="A56" t="s">
        <v>651</v>
      </c>
      <c r="B56" s="8">
        <v>46032</v>
      </c>
      <c r="C56" s="10" t="s">
        <v>47</v>
      </c>
      <c r="D56" s="10" t="s">
        <v>592</v>
      </c>
      <c r="E56" s="10" t="s">
        <v>593</v>
      </c>
      <c r="F56" s="10" t="s">
        <v>585</v>
      </c>
      <c r="G56">
        <v>3</v>
      </c>
      <c r="H56" s="9">
        <v>900</v>
      </c>
      <c r="I56" s="10" t="s">
        <v>586</v>
      </c>
      <c r="J56" s="10" t="s">
        <v>49</v>
      </c>
    </row>
    <row r="57" spans="1:10">
      <c r="A57" t="s">
        <v>652</v>
      </c>
      <c r="B57" s="8">
        <v>46031</v>
      </c>
      <c r="C57" s="10" t="s">
        <v>26</v>
      </c>
      <c r="D57" s="10" t="s">
        <v>592</v>
      </c>
      <c r="E57" s="10" t="s">
        <v>593</v>
      </c>
      <c r="F57" s="10" t="s">
        <v>585</v>
      </c>
      <c r="G57">
        <v>4</v>
      </c>
      <c r="H57" s="9">
        <v>1250</v>
      </c>
      <c r="I57" s="10" t="s">
        <v>586</v>
      </c>
      <c r="J57" s="10" t="s">
        <v>22</v>
      </c>
    </row>
    <row r="58" spans="1:10">
      <c r="A58" t="s">
        <v>653</v>
      </c>
      <c r="B58" s="8">
        <v>46041</v>
      </c>
      <c r="C58" s="10" t="s">
        <v>42</v>
      </c>
      <c r="D58" s="10" t="s">
        <v>592</v>
      </c>
      <c r="E58" s="10" t="s">
        <v>599</v>
      </c>
      <c r="F58" s="10" t="s">
        <v>589</v>
      </c>
      <c r="G58">
        <v>1</v>
      </c>
      <c r="H58" s="9">
        <v>717</v>
      </c>
      <c r="I58" s="10" t="s">
        <v>586</v>
      </c>
      <c r="J58" s="10" t="s">
        <v>44</v>
      </c>
    </row>
    <row r="59" spans="1:10">
      <c r="A59" t="s">
        <v>654</v>
      </c>
      <c r="B59" s="8">
        <v>46040</v>
      </c>
      <c r="C59" s="10" t="s">
        <v>28</v>
      </c>
      <c r="D59" s="10" t="s">
        <v>592</v>
      </c>
      <c r="E59" s="10" t="s">
        <v>599</v>
      </c>
      <c r="F59" s="10" t="s">
        <v>589</v>
      </c>
      <c r="G59">
        <v>1</v>
      </c>
      <c r="H59" s="9">
        <v>699</v>
      </c>
      <c r="I59" s="10" t="s">
        <v>586</v>
      </c>
      <c r="J59" s="10" t="s">
        <v>30</v>
      </c>
    </row>
    <row r="60" spans="1:10">
      <c r="A60" t="s">
        <v>655</v>
      </c>
      <c r="B60" s="8">
        <v>46041</v>
      </c>
      <c r="C60" s="10" t="s">
        <v>15</v>
      </c>
      <c r="D60" s="10" t="s">
        <v>592</v>
      </c>
      <c r="E60" s="10" t="s">
        <v>593</v>
      </c>
      <c r="F60" s="10" t="s">
        <v>585</v>
      </c>
      <c r="G60">
        <v>1</v>
      </c>
      <c r="H60" s="9">
        <v>884</v>
      </c>
      <c r="I60" s="10" t="s">
        <v>586</v>
      </c>
      <c r="J60" s="10" t="s">
        <v>10</v>
      </c>
    </row>
    <row r="61" spans="1:10">
      <c r="A61" t="s">
        <v>656</v>
      </c>
      <c r="B61" s="8">
        <v>46034</v>
      </c>
      <c r="C61" s="10" t="s">
        <v>15</v>
      </c>
      <c r="D61" s="10" t="s">
        <v>592</v>
      </c>
      <c r="E61" s="10" t="s">
        <v>593</v>
      </c>
      <c r="F61" s="10" t="s">
        <v>585</v>
      </c>
      <c r="G61">
        <v>1</v>
      </c>
      <c r="H61" s="9">
        <v>657</v>
      </c>
      <c r="I61" s="10" t="s">
        <v>586</v>
      </c>
      <c r="J61" s="10" t="s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17160-E047-4D5C-B97C-D2DDCFDFD95C}">
  <dimension ref="A1:D33"/>
  <sheetViews>
    <sheetView workbookViewId="0">
      <selection activeCell="C38" sqref="C38"/>
    </sheetView>
  </sheetViews>
  <sheetFormatPr defaultRowHeight="15"/>
  <cols>
    <col min="1" max="1" width="7" bestFit="1" customWidth="1"/>
    <col min="2" max="2" width="15.7109375" bestFit="1" customWidth="1"/>
    <col min="3" max="3" width="154.85546875" bestFit="1" customWidth="1"/>
    <col min="4" max="4" width="249" bestFit="1" customWidth="1"/>
  </cols>
  <sheetData>
    <row r="1" spans="1:4">
      <c r="A1" t="s">
        <v>657</v>
      </c>
      <c r="B1" t="s">
        <v>658</v>
      </c>
      <c r="C1" t="s">
        <v>659</v>
      </c>
      <c r="D1" t="s">
        <v>660</v>
      </c>
    </row>
    <row r="2" spans="1:4">
      <c r="A2" t="s">
        <v>661</v>
      </c>
      <c r="B2" t="s">
        <v>62</v>
      </c>
      <c r="C2" t="s">
        <v>662</v>
      </c>
      <c r="D2" s="5" t="s">
        <v>663</v>
      </c>
    </row>
    <row r="3" spans="1:4">
      <c r="A3" t="s">
        <v>664</v>
      </c>
      <c r="B3" t="s">
        <v>63</v>
      </c>
      <c r="C3" t="s">
        <v>665</v>
      </c>
      <c r="D3" s="5" t="s">
        <v>666</v>
      </c>
    </row>
    <row r="4" spans="1:4">
      <c r="A4" t="s">
        <v>667</v>
      </c>
      <c r="B4" t="s">
        <v>0</v>
      </c>
      <c r="C4" t="s">
        <v>668</v>
      </c>
      <c r="D4" s="5" t="s">
        <v>669</v>
      </c>
    </row>
    <row r="5" spans="1:4">
      <c r="A5" t="s">
        <v>670</v>
      </c>
      <c r="B5" t="s">
        <v>64</v>
      </c>
      <c r="C5" t="s">
        <v>671</v>
      </c>
      <c r="D5" s="5" t="s">
        <v>672</v>
      </c>
    </row>
    <row r="6" spans="1:4">
      <c r="A6" t="s">
        <v>673</v>
      </c>
      <c r="B6" t="s">
        <v>65</v>
      </c>
      <c r="C6" t="s">
        <v>674</v>
      </c>
      <c r="D6" s="5" t="s">
        <v>675</v>
      </c>
    </row>
    <row r="7" spans="1:4">
      <c r="A7" t="s">
        <v>676</v>
      </c>
      <c r="B7" t="s">
        <v>66</v>
      </c>
      <c r="C7" t="s">
        <v>677</v>
      </c>
      <c r="D7" s="5" t="s">
        <v>678</v>
      </c>
    </row>
    <row r="8" spans="1:4">
      <c r="A8" t="s">
        <v>679</v>
      </c>
      <c r="B8" t="s">
        <v>67</v>
      </c>
      <c r="C8" t="s">
        <v>680</v>
      </c>
      <c r="D8" s="5" t="s">
        <v>681</v>
      </c>
    </row>
    <row r="9" spans="1:4">
      <c r="A9" t="s">
        <v>682</v>
      </c>
      <c r="B9" t="s">
        <v>68</v>
      </c>
      <c r="C9" t="s">
        <v>683</v>
      </c>
      <c r="D9" s="5" t="s">
        <v>684</v>
      </c>
    </row>
    <row r="11" spans="1:4">
      <c r="A11" t="s">
        <v>685</v>
      </c>
    </row>
    <row r="12" spans="1:4">
      <c r="A12" t="s">
        <v>686</v>
      </c>
    </row>
    <row r="13" spans="1:4">
      <c r="A13" t="s">
        <v>657</v>
      </c>
      <c r="B13" t="s">
        <v>658</v>
      </c>
      <c r="C13" t="s">
        <v>659</v>
      </c>
      <c r="D13" t="s">
        <v>687</v>
      </c>
    </row>
    <row r="14" spans="1:4">
      <c r="A14" t="s">
        <v>661</v>
      </c>
      <c r="B14" t="s">
        <v>572</v>
      </c>
      <c r="C14" t="s">
        <v>688</v>
      </c>
      <c r="D14" s="5" t="s">
        <v>689</v>
      </c>
    </row>
    <row r="15" spans="1:4">
      <c r="A15" t="s">
        <v>664</v>
      </c>
      <c r="B15" t="s">
        <v>573</v>
      </c>
      <c r="C15" t="s">
        <v>690</v>
      </c>
      <c r="D15" s="5" t="s">
        <v>691</v>
      </c>
    </row>
    <row r="16" spans="1:4">
      <c r="A16" t="s">
        <v>667</v>
      </c>
      <c r="B16" t="s">
        <v>0</v>
      </c>
      <c r="C16" t="s">
        <v>692</v>
      </c>
      <c r="D16" s="5" t="s">
        <v>693</v>
      </c>
    </row>
    <row r="17" spans="1:4">
      <c r="A17" t="s">
        <v>670</v>
      </c>
      <c r="B17" t="s">
        <v>574</v>
      </c>
      <c r="C17" t="s">
        <v>694</v>
      </c>
      <c r="D17" s="5" t="s">
        <v>695</v>
      </c>
    </row>
    <row r="18" spans="1:4">
      <c r="A18" t="s">
        <v>673</v>
      </c>
      <c r="B18" t="s">
        <v>575</v>
      </c>
      <c r="C18" t="s">
        <v>696</v>
      </c>
      <c r="D18" s="5" t="s">
        <v>697</v>
      </c>
    </row>
    <row r="19" spans="1:4">
      <c r="A19" t="s">
        <v>676</v>
      </c>
      <c r="B19" t="s">
        <v>576</v>
      </c>
      <c r="C19" t="s">
        <v>698</v>
      </c>
      <c r="D19" s="5" t="s">
        <v>699</v>
      </c>
    </row>
    <row r="20" spans="1:4">
      <c r="A20" t="s">
        <v>679</v>
      </c>
      <c r="B20" t="s">
        <v>577</v>
      </c>
      <c r="C20" t="s">
        <v>700</v>
      </c>
      <c r="D20" s="5" t="s">
        <v>701</v>
      </c>
    </row>
    <row r="21" spans="1:4">
      <c r="A21" t="s">
        <v>682</v>
      </c>
      <c r="B21" t="s">
        <v>578</v>
      </c>
      <c r="C21" t="s">
        <v>702</v>
      </c>
      <c r="D21" s="5" t="s">
        <v>703</v>
      </c>
    </row>
    <row r="22" spans="1:4">
      <c r="A22" t="s">
        <v>704</v>
      </c>
      <c r="B22" t="s">
        <v>579</v>
      </c>
      <c r="C22" t="s">
        <v>705</v>
      </c>
      <c r="D22" s="5" t="s">
        <v>706</v>
      </c>
    </row>
    <row r="23" spans="1:4">
      <c r="A23" t="s">
        <v>707</v>
      </c>
      <c r="B23" t="s">
        <v>580</v>
      </c>
      <c r="C23" t="s">
        <v>708</v>
      </c>
      <c r="D23" s="5" t="s">
        <v>709</v>
      </c>
    </row>
    <row r="26" spans="1:4">
      <c r="A26" t="s">
        <v>710</v>
      </c>
      <c r="B26" t="s">
        <v>711</v>
      </c>
      <c r="C26" t="s">
        <v>659</v>
      </c>
    </row>
    <row r="27" spans="1:4">
      <c r="A27" t="s">
        <v>581</v>
      </c>
      <c r="B27" t="s">
        <v>712</v>
      </c>
      <c r="C27" t="s">
        <v>713</v>
      </c>
    </row>
    <row r="28" spans="1:4">
      <c r="A28" t="s">
        <v>714</v>
      </c>
      <c r="B28" s="11">
        <v>0.8</v>
      </c>
      <c r="C28" t="s">
        <v>715</v>
      </c>
    </row>
    <row r="29" spans="1:4">
      <c r="A29" t="s">
        <v>716</v>
      </c>
      <c r="B29" s="11">
        <v>0.35</v>
      </c>
      <c r="C29" t="s">
        <v>717</v>
      </c>
    </row>
    <row r="30" spans="1:4">
      <c r="A30" t="s">
        <v>718</v>
      </c>
      <c r="B30" s="11">
        <v>0.9</v>
      </c>
      <c r="C30" t="s">
        <v>719</v>
      </c>
    </row>
    <row r="32" spans="1:4">
      <c r="A32" t="s">
        <v>685</v>
      </c>
    </row>
    <row r="33" spans="1:1">
      <c r="A33" t="s">
        <v>720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FD8A3-5450-4AEC-9754-253FD3FEE40C}">
  <dimension ref="A1:AC26"/>
  <sheetViews>
    <sheetView tabSelected="1" topLeftCell="Q1" workbookViewId="0">
      <selection activeCell="AC7" sqref="AC7"/>
    </sheetView>
  </sheetViews>
  <sheetFormatPr defaultRowHeight="15"/>
  <cols>
    <col min="1" max="1" width="41" bestFit="1" customWidth="1"/>
    <col min="2" max="2" width="11.140625" bestFit="1" customWidth="1"/>
    <col min="3" max="3" width="10.5703125" bestFit="1" customWidth="1"/>
    <col min="5" max="5" width="16.85546875" bestFit="1" customWidth="1"/>
    <col min="6" max="6" width="13.42578125" bestFit="1" customWidth="1"/>
    <col min="8" max="8" width="31.85546875" bestFit="1" customWidth="1"/>
    <col min="9" max="9" width="10.5703125" bestFit="1" customWidth="1"/>
    <col min="10" max="10" width="14.5703125" bestFit="1" customWidth="1"/>
    <col min="11" max="11" width="22.5703125" bestFit="1" customWidth="1"/>
    <col min="12" max="12" width="13.42578125" bestFit="1" customWidth="1"/>
    <col min="14" max="14" width="15.7109375" bestFit="1" customWidth="1"/>
    <col min="15" max="15" width="12.5703125" bestFit="1" customWidth="1"/>
    <col min="16" max="16" width="18.7109375" bestFit="1" customWidth="1"/>
    <col min="17" max="17" width="14" bestFit="1" customWidth="1"/>
    <col min="19" max="19" width="15.7109375" bestFit="1" customWidth="1"/>
    <col min="20" max="20" width="10.5703125" bestFit="1" customWidth="1"/>
    <col min="21" max="21" width="14.42578125" bestFit="1" customWidth="1"/>
    <col min="22" max="22" width="21.85546875" bestFit="1" customWidth="1"/>
    <col min="23" max="23" width="14" bestFit="1" customWidth="1"/>
    <col min="24" max="24" width="18.7109375" bestFit="1" customWidth="1"/>
    <col min="25" max="25" width="12.5703125" bestFit="1" customWidth="1"/>
    <col min="26" max="26" width="12.28515625" bestFit="1" customWidth="1"/>
    <col min="28" max="28" width="44.42578125" bestFit="1" customWidth="1"/>
  </cols>
  <sheetData>
    <row r="1" spans="1:29">
      <c r="A1" s="6" t="s">
        <v>721</v>
      </c>
    </row>
    <row r="3" spans="1:29">
      <c r="A3" t="s">
        <v>68</v>
      </c>
      <c r="B3" t="s">
        <v>722</v>
      </c>
      <c r="C3" t="s">
        <v>723</v>
      </c>
      <c r="E3" s="6" t="s">
        <v>0</v>
      </c>
      <c r="F3" s="6" t="s">
        <v>724</v>
      </c>
      <c r="H3" s="6" t="s">
        <v>725</v>
      </c>
      <c r="N3" t="s">
        <v>0</v>
      </c>
      <c r="O3" t="s">
        <v>726</v>
      </c>
      <c r="P3" t="s">
        <v>727</v>
      </c>
      <c r="Q3" t="s">
        <v>728</v>
      </c>
      <c r="S3" t="s">
        <v>0</v>
      </c>
      <c r="T3" t="s">
        <v>724</v>
      </c>
      <c r="U3" t="s">
        <v>729</v>
      </c>
      <c r="V3" t="s">
        <v>730</v>
      </c>
      <c r="W3" t="s">
        <v>728</v>
      </c>
      <c r="X3" t="s">
        <v>727</v>
      </c>
      <c r="Y3" t="s">
        <v>726</v>
      </c>
      <c r="Z3" s="6" t="s">
        <v>731</v>
      </c>
      <c r="AB3" s="6" t="s">
        <v>732</v>
      </c>
    </row>
    <row r="4" spans="1:29">
      <c r="A4" t="s">
        <v>70</v>
      </c>
      <c r="B4">
        <f>COUNTIF(tb_leituras[status],A4)</f>
        <v>432</v>
      </c>
      <c r="C4" s="7">
        <f>B4/$B$8</f>
        <v>0.86399999999999999</v>
      </c>
      <c r="E4" s="6" t="s">
        <v>42</v>
      </c>
      <c r="F4">
        <f>COUNTIFS(tb_leituras[id_equipamento],E4,tb_leituras[status],"Crítico")</f>
        <v>16</v>
      </c>
      <c r="H4" t="s">
        <v>0</v>
      </c>
      <c r="I4" t="s">
        <v>724</v>
      </c>
      <c r="J4" s="6" t="s">
        <v>729</v>
      </c>
      <c r="K4" s="6" t="s">
        <v>730</v>
      </c>
      <c r="L4" s="6" t="s">
        <v>733</v>
      </c>
      <c r="N4" s="6" t="s">
        <v>28</v>
      </c>
      <c r="O4" s="9">
        <f>SUMIFS(tb_manutencoes[custo_reais],tb_manutencoes[id_equipamento],N4)</f>
        <v>17093</v>
      </c>
      <c r="P4">
        <f>SUMIFS(tb_manutencoes[horas_parado],tb_manutencoes[id_equipamento],N4)</f>
        <v>67</v>
      </c>
      <c r="Q4">
        <f>COUNTIFS(tb_manutencoes[id_equipamento],N4,tb_manutencoes[tipo_manutencao],"Corretiva")</f>
        <v>10</v>
      </c>
      <c r="S4" s="6" t="s">
        <v>8</v>
      </c>
      <c r="T4">
        <f>COUNTIFS(tb_leituras[id_equipamento],S4,tb_leituras[status],"Crítico")</f>
        <v>0</v>
      </c>
      <c r="U4">
        <f>AVERAGEIFS(tb_leituras[temperatura_c],tb_leituras[id_equipamento],S4)</f>
        <v>70.64</v>
      </c>
      <c r="V4">
        <f>AVERAGEIFS(tb_leituras[vibracao_mm_s],tb_leituras[id_equipamento],S4)</f>
        <v>4.6759999999999993</v>
      </c>
      <c r="W4">
        <f>COUNTIFS(tb_manutencoes[id_equipamento],S4,tb_manutencoes[tipo_manutencao],"Corretiva")</f>
        <v>1</v>
      </c>
      <c r="X4">
        <f>SUMIFS(tb_manutencoes[horas_parado],tb_manutencoes[id_equipamento],S4)</f>
        <v>9</v>
      </c>
      <c r="Y4" s="9">
        <f>SUMIFS(tb_manutencoes[custo_reais],tb_manutencoes[id_equipamento],S4)</f>
        <v>2909</v>
      </c>
      <c r="Z4" t="str">
        <f>IF(AND(T4&gt;=5,W4&gt;=3),"Alta",IF(OR(T4&gt;=3,W4&gt;=2),"Média","Baixa"))</f>
        <v>Baixa</v>
      </c>
    </row>
    <row r="5" spans="1:29">
      <c r="A5" t="s">
        <v>84</v>
      </c>
      <c r="B5">
        <f>COUNTIF(tb_leituras[status],A5)</f>
        <v>28</v>
      </c>
      <c r="C5" s="7">
        <f t="shared" ref="C5:C6" si="0">B5/$B$8</f>
        <v>5.6000000000000001E-2</v>
      </c>
      <c r="E5" s="6" t="s">
        <v>28</v>
      </c>
      <c r="F5">
        <f>COUNTIFS(tb_leituras[id_equipamento],E5,tb_leituras[status],"Crítico")</f>
        <v>14</v>
      </c>
      <c r="H5" t="str">
        <f>E4</f>
        <v>EQ013</v>
      </c>
      <c r="I5">
        <f>F4</f>
        <v>16</v>
      </c>
      <c r="J5">
        <f>AVERAGEIFS(tb_leituras[temperatura_c],tb_leituras[id_equipamento],H5)</f>
        <v>85.04</v>
      </c>
      <c r="K5">
        <f>AVERAGEIFS(tb_leituras[vibracao_mm_s],tb_leituras[id_equipamento],H5)</f>
        <v>7.6479999999999997</v>
      </c>
      <c r="L5">
        <f>AVERAGEIFS(tb_leituras[horas_operacao],tb_leituras[id_equipamento],H5)</f>
        <v>8.1199999999999992</v>
      </c>
      <c r="N5" s="6" t="s">
        <v>42</v>
      </c>
      <c r="O5" s="9">
        <f>SUMIFS(tb_manutencoes[custo_reais],tb_manutencoes[id_equipamento],N5)</f>
        <v>8063</v>
      </c>
      <c r="P5">
        <f>SUMIFS(tb_manutencoes[horas_parado],tb_manutencoes[id_equipamento],N5)</f>
        <v>34</v>
      </c>
      <c r="Q5">
        <f>COUNTIFS(tb_manutencoes[id_equipamento],N5,tb_manutencoes[tipo_manutencao],"Corretiva")</f>
        <v>6</v>
      </c>
      <c r="S5" s="6" t="s">
        <v>13</v>
      </c>
      <c r="T5">
        <f>COUNTIFS(tb_leituras[id_equipamento],S5,tb_leituras[status],"Crítico")</f>
        <v>0</v>
      </c>
      <c r="U5">
        <f>AVERAGEIFS(tb_leituras[temperatura_c],tb_leituras[id_equipamento],S5)</f>
        <v>69.400000000000006</v>
      </c>
      <c r="V5">
        <f>AVERAGEIFS(tb_leituras[vibracao_mm_s],tb_leituras[id_equipamento],S5)</f>
        <v>4.5760000000000005</v>
      </c>
      <c r="W5">
        <f>COUNTIFS(tb_manutencoes[id_equipamento],S5,tb_manutencoes[tipo_manutencao],"Corretiva")</f>
        <v>0</v>
      </c>
      <c r="X5">
        <f>SUMIFS(tb_manutencoes[horas_parado],tb_manutencoes[id_equipamento],S5)</f>
        <v>1</v>
      </c>
      <c r="Y5" s="9">
        <f>SUMIFS(tb_manutencoes[custo_reais],tb_manutencoes[id_equipamento],S5)</f>
        <v>818</v>
      </c>
      <c r="Z5" t="str">
        <f t="shared" ref="Z5:Z23" si="1">IF(AND(T5&gt;=5,W5&gt;=3),"Alta",IF(OR(T5&gt;=3,W5&gt;=2),"Média","Baixa"))</f>
        <v>Baixa</v>
      </c>
      <c r="AB5" s="6" t="s">
        <v>734</v>
      </c>
      <c r="AC5" t="s">
        <v>42</v>
      </c>
    </row>
    <row r="6" spans="1:29">
      <c r="A6" t="s">
        <v>78</v>
      </c>
      <c r="B6">
        <f>COUNTIF(tb_leituras[status],A6)</f>
        <v>40</v>
      </c>
      <c r="C6" s="7">
        <f t="shared" si="0"/>
        <v>0.08</v>
      </c>
      <c r="E6" s="6" t="s">
        <v>47</v>
      </c>
      <c r="F6">
        <f>COUNTIFS(tb_leituras[id_equipamento],E6,tb_leituras[status],"Crítico")</f>
        <v>10</v>
      </c>
      <c r="H6" t="str">
        <f>E5</f>
        <v>EQ008</v>
      </c>
      <c r="I6">
        <f>F5</f>
        <v>14</v>
      </c>
      <c r="J6">
        <f>AVERAGEIFS(tb_leituras[temperatura_c],tb_leituras[id_equipamento],H6)</f>
        <v>93.72</v>
      </c>
      <c r="K6">
        <f>AVERAGEIFS(tb_leituras[vibracao_mm_s],tb_leituras[id_equipamento],H6)</f>
        <v>8.2360000000000007</v>
      </c>
      <c r="L6">
        <f>AVERAGEIFS(tb_leituras[horas_operacao],tb_leituras[id_equipamento],H6)</f>
        <v>8</v>
      </c>
      <c r="N6" s="6" t="s">
        <v>47</v>
      </c>
      <c r="O6" s="9">
        <f>SUMIFS(tb_manutencoes[custo_reais],tb_manutencoes[id_equipamento],N6)</f>
        <v>6657</v>
      </c>
      <c r="P6">
        <f>SUMIFS(tb_manutencoes[horas_parado],tb_manutencoes[id_equipamento],N6)</f>
        <v>25</v>
      </c>
      <c r="Q6">
        <f>COUNTIFS(tb_manutencoes[id_equipamento],N6,tb_manutencoes[tipo_manutencao],"Corretiva")</f>
        <v>3</v>
      </c>
      <c r="S6" s="6" t="s">
        <v>15</v>
      </c>
      <c r="T6">
        <f>COUNTIFS(tb_leituras[id_equipamento],S6,tb_leituras[status],"Crítico")</f>
        <v>0</v>
      </c>
      <c r="U6">
        <f>AVERAGEIFS(tb_leituras[temperatura_c],tb_leituras[id_equipamento],S6)</f>
        <v>76.48</v>
      </c>
      <c r="V6">
        <f>AVERAGEIFS(tb_leituras[vibracao_mm_s],tb_leituras[id_equipamento],S6)</f>
        <v>4.7639999999999993</v>
      </c>
      <c r="W6">
        <f>COUNTIFS(tb_manutencoes[id_equipamento],S6,tb_manutencoes[tipo_manutencao],"Corretiva")</f>
        <v>1</v>
      </c>
      <c r="X6">
        <f>SUMIFS(tb_manutencoes[horas_parado],tb_manutencoes[id_equipamento],S6)</f>
        <v>12</v>
      </c>
      <c r="Y6" s="9">
        <f>SUMIFS(tb_manutencoes[custo_reais],tb_manutencoes[id_equipamento],S6)</f>
        <v>5066</v>
      </c>
      <c r="Z6" t="str">
        <f t="shared" si="1"/>
        <v>Baixa</v>
      </c>
      <c r="AB6" s="6" t="s">
        <v>735</v>
      </c>
      <c r="AC6" t="s">
        <v>28</v>
      </c>
    </row>
    <row r="7" spans="1:29">
      <c r="E7" s="6" t="s">
        <v>8</v>
      </c>
      <c r="F7">
        <f>COUNTIFS(tb_leituras[id_equipamento],E7,tb_leituras[status],"Crítico")</f>
        <v>0</v>
      </c>
      <c r="H7" t="str">
        <f>E6</f>
        <v>EQ015</v>
      </c>
      <c r="I7">
        <f>F6</f>
        <v>10</v>
      </c>
      <c r="J7">
        <f>AVERAGEIFS(tb_leituras[temperatura_c],tb_leituras[id_equipamento],H7)</f>
        <v>87.96</v>
      </c>
      <c r="K7">
        <f>AVERAGEIFS(tb_leituras[vibracao_mm_s],tb_leituras[id_equipamento],H7)</f>
        <v>7.5840000000000005</v>
      </c>
      <c r="L7">
        <f>AVERAGEIFS(tb_leituras[horas_operacao],tb_leituras[id_equipamento],H7)</f>
        <v>8.24</v>
      </c>
      <c r="N7" s="6" t="s">
        <v>31</v>
      </c>
      <c r="O7" s="9">
        <f>SUMIFS(tb_manutencoes[custo_reais],tb_manutencoes[id_equipamento],N7)</f>
        <v>5441</v>
      </c>
      <c r="P7">
        <f>SUMIFS(tb_manutencoes[horas_parado],tb_manutencoes[id_equipamento],N7)</f>
        <v>19</v>
      </c>
      <c r="Q7">
        <f>COUNTIFS(tb_manutencoes[id_equipamento],N7,tb_manutencoes[tipo_manutencao],"Corretiva")</f>
        <v>1</v>
      </c>
      <c r="S7" s="6" t="s">
        <v>18</v>
      </c>
      <c r="T7">
        <f>COUNTIFS(tb_leituras[id_equipamento],S7,tb_leituras[status],"Crítico")</f>
        <v>0</v>
      </c>
      <c r="U7">
        <f>AVERAGEIFS(tb_leituras[temperatura_c],tb_leituras[id_equipamento],S7)</f>
        <v>75.72</v>
      </c>
      <c r="V7">
        <f>AVERAGEIFS(tb_leituras[vibracao_mm_s],tb_leituras[id_equipamento],S7)</f>
        <v>5</v>
      </c>
      <c r="W7">
        <f>COUNTIFS(tb_manutencoes[id_equipamento],S7,tb_manutencoes[tipo_manutencao],"Corretiva")</f>
        <v>0</v>
      </c>
      <c r="X7">
        <f>SUMIFS(tb_manutencoes[horas_parado],tb_manutencoes[id_equipamento],S7)</f>
        <v>4</v>
      </c>
      <c r="Y7" s="9">
        <f>SUMIFS(tb_manutencoes[custo_reais],tb_manutencoes[id_equipamento],S7)</f>
        <v>1367</v>
      </c>
      <c r="Z7" t="str">
        <f t="shared" si="1"/>
        <v>Baixa</v>
      </c>
      <c r="AB7" s="6" t="s">
        <v>736</v>
      </c>
      <c r="AC7" t="s">
        <v>28</v>
      </c>
    </row>
    <row r="8" spans="1:29">
      <c r="A8" s="6" t="s">
        <v>737</v>
      </c>
      <c r="B8">
        <f>SUM(B4:B6)</f>
        <v>500</v>
      </c>
      <c r="E8" s="6" t="s">
        <v>13</v>
      </c>
      <c r="F8">
        <f>COUNTIFS(tb_leituras[id_equipamento],E8,tb_leituras[status],"Crítico")</f>
        <v>0</v>
      </c>
      <c r="N8" s="6" t="s">
        <v>15</v>
      </c>
      <c r="O8" s="9">
        <f>SUMIFS(tb_manutencoes[custo_reais],tb_manutencoes[id_equipamento],N8)</f>
        <v>5066</v>
      </c>
      <c r="P8">
        <f>SUMIFS(tb_manutencoes[horas_parado],tb_manutencoes[id_equipamento],N8)</f>
        <v>12</v>
      </c>
      <c r="Q8">
        <f>COUNTIFS(tb_manutencoes[id_equipamento],N8,tb_manutencoes[tipo_manutencao],"Corretiva")</f>
        <v>1</v>
      </c>
      <c r="S8" s="6" t="s">
        <v>20</v>
      </c>
      <c r="T8">
        <f>COUNTIFS(tb_leituras[id_equipamento],S8,tb_leituras[status],"Crítico")</f>
        <v>0</v>
      </c>
      <c r="U8">
        <f>AVERAGEIFS(tb_leituras[temperatura_c],tb_leituras[id_equipamento],S8)</f>
        <v>64.760000000000005</v>
      </c>
      <c r="V8">
        <f>AVERAGEIFS(tb_leituras[vibracao_mm_s],tb_leituras[id_equipamento],S8)</f>
        <v>4.9679999999999991</v>
      </c>
      <c r="W8">
        <f>COUNTIFS(tb_manutencoes[id_equipamento],S8,tb_manutencoes[tipo_manutencao],"Corretiva")</f>
        <v>0</v>
      </c>
      <c r="X8">
        <f>SUMIFS(tb_manutencoes[horas_parado],tb_manutencoes[id_equipamento],S8)</f>
        <v>4</v>
      </c>
      <c r="Y8" s="9">
        <f>SUMIFS(tb_manutencoes[custo_reais],tb_manutencoes[id_equipamento],S8)</f>
        <v>1334</v>
      </c>
      <c r="Z8" t="str">
        <f t="shared" si="1"/>
        <v>Baixa</v>
      </c>
    </row>
    <row r="9" spans="1:29">
      <c r="E9" s="6" t="s">
        <v>15</v>
      </c>
      <c r="F9">
        <f>COUNTIFS(tb_leituras[id_equipamento],E9,tb_leituras[status],"Crítico")</f>
        <v>0</v>
      </c>
      <c r="N9" s="6" t="s">
        <v>38</v>
      </c>
      <c r="O9" s="9">
        <f>SUMIFS(tb_manutencoes[custo_reais],tb_manutencoes[id_equipamento],N9)</f>
        <v>4866</v>
      </c>
      <c r="P9">
        <f>SUMIFS(tb_manutencoes[horas_parado],tb_manutencoes[id_equipamento],N9)</f>
        <v>28</v>
      </c>
      <c r="Q9">
        <f>COUNTIFS(tb_manutencoes[id_equipamento],N9,tb_manutencoes[tipo_manutencao],"Corretiva")</f>
        <v>5</v>
      </c>
      <c r="S9" s="6" t="s">
        <v>24</v>
      </c>
      <c r="T9">
        <f>COUNTIFS(tb_leituras[id_equipamento],S9,tb_leituras[status],"Crítico")</f>
        <v>0</v>
      </c>
      <c r="U9">
        <f>AVERAGEIFS(tb_leituras[temperatura_c],tb_leituras[id_equipamento],S9)</f>
        <v>65.8</v>
      </c>
      <c r="V9">
        <f>AVERAGEIFS(tb_leituras[vibracao_mm_s],tb_leituras[id_equipamento],S9)</f>
        <v>5.468</v>
      </c>
      <c r="W9">
        <f>COUNTIFS(tb_manutencoes[id_equipamento],S9,tb_manutencoes[tipo_manutencao],"Corretiva")</f>
        <v>0</v>
      </c>
      <c r="X9">
        <f>SUMIFS(tb_manutencoes[horas_parado],tb_manutencoes[id_equipamento],S9)</f>
        <v>4</v>
      </c>
      <c r="Y9" s="9">
        <f>SUMIFS(tb_manutencoes[custo_reais],tb_manutencoes[id_equipamento],S9)</f>
        <v>1731</v>
      </c>
      <c r="Z9" t="str">
        <f t="shared" si="1"/>
        <v>Baixa</v>
      </c>
    </row>
    <row r="10" spans="1:29">
      <c r="E10" s="6" t="s">
        <v>18</v>
      </c>
      <c r="F10">
        <f>COUNTIFS(tb_leituras[id_equipamento],E10,tb_leituras[status],"Crítico")</f>
        <v>0</v>
      </c>
      <c r="H10" s="6" t="s">
        <v>738</v>
      </c>
      <c r="N10" s="6" t="s">
        <v>8</v>
      </c>
      <c r="O10" s="9">
        <f>SUMIFS(tb_manutencoes[custo_reais],tb_manutencoes[id_equipamento],N10)</f>
        <v>2909</v>
      </c>
      <c r="P10">
        <f>SUMIFS(tb_manutencoes[horas_parado],tb_manutencoes[id_equipamento],N10)</f>
        <v>9</v>
      </c>
      <c r="Q10">
        <f>COUNTIFS(tb_manutencoes[id_equipamento],N10,tb_manutencoes[tipo_manutencao],"Corretiva")</f>
        <v>1</v>
      </c>
      <c r="S10" s="6" t="s">
        <v>26</v>
      </c>
      <c r="T10">
        <f>COUNTIFS(tb_leituras[id_equipamento],S10,tb_leituras[status],"Crítico")</f>
        <v>0</v>
      </c>
      <c r="U10">
        <f>AVERAGEIFS(tb_leituras[temperatura_c],tb_leituras[id_equipamento],S10)</f>
        <v>67.88</v>
      </c>
      <c r="V10">
        <f>AVERAGEIFS(tb_leituras[vibracao_mm_s],tb_leituras[id_equipamento],S10)</f>
        <v>5.12</v>
      </c>
      <c r="W10">
        <f>COUNTIFS(tb_manutencoes[id_equipamento],S10,tb_manutencoes[tipo_manutencao],"Corretiva")</f>
        <v>1</v>
      </c>
      <c r="X10">
        <f>SUMIFS(tb_manutencoes[horas_parado],tb_manutencoes[id_equipamento],S10)</f>
        <v>7</v>
      </c>
      <c r="Y10" s="9">
        <f>SUMIFS(tb_manutencoes[custo_reais],tb_manutencoes[id_equipamento],S10)</f>
        <v>2029</v>
      </c>
      <c r="Z10" t="str">
        <f t="shared" si="1"/>
        <v>Baixa</v>
      </c>
    </row>
    <row r="11" spans="1:29">
      <c r="E11" s="6" t="s">
        <v>20</v>
      </c>
      <c r="F11">
        <f>COUNTIFS(tb_leituras[id_equipamento],E11,tb_leituras[status],"Crítico")</f>
        <v>0</v>
      </c>
      <c r="H11" s="6" t="s">
        <v>739</v>
      </c>
      <c r="I11">
        <f>AVERAGE(tb_leituras[temperatura_c])</f>
        <v>69.593999999999994</v>
      </c>
      <c r="N11" s="6" t="s">
        <v>26</v>
      </c>
      <c r="O11" s="9">
        <f>SUMIFS(tb_manutencoes[custo_reais],tb_manutencoes[id_equipamento],N11)</f>
        <v>2029</v>
      </c>
      <c r="P11">
        <f>SUMIFS(tb_manutencoes[horas_parado],tb_manutencoes[id_equipamento],N11)</f>
        <v>7</v>
      </c>
      <c r="Q11">
        <f>COUNTIFS(tb_manutencoes[id_equipamento],N11,tb_manutencoes[tipo_manutencao],"Corretiva")</f>
        <v>1</v>
      </c>
      <c r="S11" s="6" t="s">
        <v>28</v>
      </c>
      <c r="T11">
        <f>COUNTIFS(tb_leituras[id_equipamento],S11,tb_leituras[status],"Crítico")</f>
        <v>14</v>
      </c>
      <c r="U11">
        <f>AVERAGEIFS(tb_leituras[temperatura_c],tb_leituras[id_equipamento],S11)</f>
        <v>93.72</v>
      </c>
      <c r="V11">
        <f>AVERAGEIFS(tb_leituras[vibracao_mm_s],tb_leituras[id_equipamento],S11)</f>
        <v>8.2360000000000007</v>
      </c>
      <c r="W11">
        <f>COUNTIFS(tb_manutencoes[id_equipamento],S11,tb_manutencoes[tipo_manutencao],"Corretiva")</f>
        <v>10</v>
      </c>
      <c r="X11">
        <f>SUMIFS(tb_manutencoes[horas_parado],tb_manutencoes[id_equipamento],S11)</f>
        <v>67</v>
      </c>
      <c r="Y11" s="9">
        <f>SUMIFS(tb_manutencoes[custo_reais],tb_manutencoes[id_equipamento],S11)</f>
        <v>17093</v>
      </c>
      <c r="Z11" t="str">
        <f t="shared" si="1"/>
        <v>Alta</v>
      </c>
    </row>
    <row r="12" spans="1:29">
      <c r="E12" s="6" t="s">
        <v>24</v>
      </c>
      <c r="F12">
        <f>COUNTIFS(tb_leituras[id_equipamento],E12,tb_leituras[status],"Crítico")</f>
        <v>0</v>
      </c>
      <c r="H12" s="6" t="s">
        <v>740</v>
      </c>
      <c r="I12">
        <f>AVERAGE(tb_leituras[vibracao_mm_s])</f>
        <v>5.2570000000000023</v>
      </c>
      <c r="N12" s="6" t="s">
        <v>36</v>
      </c>
      <c r="O12" s="9">
        <f>SUMIFS(tb_manutencoes[custo_reais],tb_manutencoes[id_equipamento],N12)</f>
        <v>1940</v>
      </c>
      <c r="P12">
        <f>SUMIFS(tb_manutencoes[horas_parado],tb_manutencoes[id_equipamento],N12)</f>
        <v>5</v>
      </c>
      <c r="Q12">
        <f>COUNTIFS(tb_manutencoes[id_equipamento],N12,tb_manutencoes[tipo_manutencao],"Corretiva")</f>
        <v>0</v>
      </c>
      <c r="S12" s="6" t="s">
        <v>31</v>
      </c>
      <c r="T12">
        <f>COUNTIFS(tb_leituras[id_equipamento],S12,tb_leituras[status],"Crítico")</f>
        <v>0</v>
      </c>
      <c r="U12">
        <f>AVERAGEIFS(tb_leituras[temperatura_c],tb_leituras[id_equipamento],S12)</f>
        <v>79.319999999999993</v>
      </c>
      <c r="V12">
        <f>AVERAGEIFS(tb_leituras[vibracao_mm_s],tb_leituras[id_equipamento],S12)</f>
        <v>5.5079999999999991</v>
      </c>
      <c r="W12">
        <f>COUNTIFS(tb_manutencoes[id_equipamento],S12,tb_manutencoes[tipo_manutencao],"Corretiva")</f>
        <v>1</v>
      </c>
      <c r="X12">
        <f>SUMIFS(tb_manutencoes[horas_parado],tb_manutencoes[id_equipamento],S12)</f>
        <v>19</v>
      </c>
      <c r="Y12" s="9">
        <f>SUMIFS(tb_manutencoes[custo_reais],tb_manutencoes[id_equipamento],S12)</f>
        <v>5441</v>
      </c>
      <c r="Z12" t="str">
        <f t="shared" si="1"/>
        <v>Baixa</v>
      </c>
    </row>
    <row r="13" spans="1:29">
      <c r="A13" s="6" t="s">
        <v>741</v>
      </c>
      <c r="B13">
        <f>COUNTA(tb_manutencoes[id_os])</f>
        <v>60</v>
      </c>
      <c r="E13" s="6" t="s">
        <v>26</v>
      </c>
      <c r="F13">
        <f>COUNTIFS(tb_leituras[id_equipamento],E13,tb_leituras[status],"Crítico")</f>
        <v>0</v>
      </c>
      <c r="H13" s="6" t="s">
        <v>742</v>
      </c>
      <c r="I13">
        <f>AVERAGE(tb_leituras[horas_operacao])</f>
        <v>8.0779999999999994</v>
      </c>
      <c r="N13" s="6" t="s">
        <v>45</v>
      </c>
      <c r="O13" s="9">
        <f>SUMIFS(tb_manutencoes[custo_reais],tb_manutencoes[id_equipamento],N13)</f>
        <v>1792</v>
      </c>
      <c r="P13">
        <f>SUMIFS(tb_manutencoes[horas_parado],tb_manutencoes[id_equipamento],N13)</f>
        <v>6</v>
      </c>
      <c r="Q13">
        <f>COUNTIFS(tb_manutencoes[id_equipamento],N13,tb_manutencoes[tipo_manutencao],"Corretiva")</f>
        <v>0</v>
      </c>
      <c r="S13" s="6" t="s">
        <v>33</v>
      </c>
      <c r="T13">
        <f>COUNTIFS(tb_leituras[id_equipamento],S13,tb_leituras[status],"Crítico")</f>
        <v>0</v>
      </c>
      <c r="U13">
        <f>AVERAGEIFS(tb_leituras[temperatura_c],tb_leituras[id_equipamento],S13)</f>
        <v>59.6</v>
      </c>
      <c r="V13">
        <f>AVERAGEIFS(tb_leituras[vibracao_mm_s],tb_leituras[id_equipamento],S13)</f>
        <v>4.3159999999999989</v>
      </c>
      <c r="W13">
        <f>COUNTIFS(tb_manutencoes[id_equipamento],S13,tb_manutencoes[tipo_manutencao],"Corretiva")</f>
        <v>1</v>
      </c>
      <c r="X13">
        <f>SUMIFS(tb_manutencoes[horas_parado],tb_manutencoes[id_equipamento],S13)</f>
        <v>3</v>
      </c>
      <c r="Y13" s="9">
        <f>SUMIFS(tb_manutencoes[custo_reais],tb_manutencoes[id_equipamento],S13)</f>
        <v>565</v>
      </c>
      <c r="Z13" t="str">
        <f t="shared" si="1"/>
        <v>Baixa</v>
      </c>
    </row>
    <row r="14" spans="1:29">
      <c r="E14" s="6" t="s">
        <v>31</v>
      </c>
      <c r="F14">
        <f>COUNTIFS(tb_leituras[id_equipamento],E14,tb_leituras[status],"Crítico")</f>
        <v>0</v>
      </c>
      <c r="N14" s="6" t="s">
        <v>24</v>
      </c>
      <c r="O14" s="9">
        <f>SUMIFS(tb_manutencoes[custo_reais],tb_manutencoes[id_equipamento],N14)</f>
        <v>1731</v>
      </c>
      <c r="P14">
        <f>SUMIFS(tb_manutencoes[horas_parado],tb_manutencoes[id_equipamento],N14)</f>
        <v>4</v>
      </c>
      <c r="Q14">
        <f>COUNTIFS(tb_manutencoes[id_equipamento],N14,tb_manutencoes[tipo_manutencao],"Corretiva")</f>
        <v>0</v>
      </c>
      <c r="S14" s="6" t="s">
        <v>36</v>
      </c>
      <c r="T14">
        <f>COUNTIFS(tb_leituras[id_equipamento],S14,tb_leituras[status],"Crítico")</f>
        <v>0</v>
      </c>
      <c r="U14">
        <f>AVERAGEIFS(tb_leituras[temperatura_c],tb_leituras[id_equipamento],S14)</f>
        <v>60.16</v>
      </c>
      <c r="V14">
        <f>AVERAGEIFS(tb_leituras[vibracao_mm_s],tb_leituras[id_equipamento],S14)</f>
        <v>4.6639999999999988</v>
      </c>
      <c r="W14">
        <f>COUNTIFS(tb_manutencoes[id_equipamento],S14,tb_manutencoes[tipo_manutencao],"Corretiva")</f>
        <v>0</v>
      </c>
      <c r="X14">
        <f>SUMIFS(tb_manutencoes[horas_parado],tb_manutencoes[id_equipamento],S14)</f>
        <v>5</v>
      </c>
      <c r="Y14" s="9">
        <f>SUMIFS(tb_manutencoes[custo_reais],tb_manutencoes[id_equipamento],S14)</f>
        <v>1940</v>
      </c>
      <c r="Z14" t="str">
        <f t="shared" si="1"/>
        <v>Baixa</v>
      </c>
    </row>
    <row r="15" spans="1:29">
      <c r="E15" s="6" t="s">
        <v>33</v>
      </c>
      <c r="F15">
        <f>COUNTIFS(tb_leituras[id_equipamento],E15,tb_leituras[status],"Crítico")</f>
        <v>0</v>
      </c>
      <c r="N15" s="6" t="s">
        <v>52</v>
      </c>
      <c r="O15" s="9">
        <f>SUMIFS(tb_manutencoes[custo_reais],tb_manutencoes[id_equipamento],N15)</f>
        <v>1505</v>
      </c>
      <c r="P15">
        <f>SUMIFS(tb_manutencoes[horas_parado],tb_manutencoes[id_equipamento],N15)</f>
        <v>8</v>
      </c>
      <c r="Q15">
        <f>COUNTIFS(tb_manutencoes[id_equipamento],N15,tb_manutencoes[tipo_manutencao],"Corretiva")</f>
        <v>1</v>
      </c>
      <c r="S15" s="6" t="s">
        <v>38</v>
      </c>
      <c r="T15">
        <f>COUNTIFS(tb_leituras[id_equipamento],S15,tb_leituras[status],"Crítico")</f>
        <v>0</v>
      </c>
      <c r="U15">
        <f>AVERAGEIFS(tb_leituras[temperatura_c],tb_leituras[id_equipamento],S15)</f>
        <v>59.92</v>
      </c>
      <c r="V15">
        <f>AVERAGEIFS(tb_leituras[vibracao_mm_s],tb_leituras[id_equipamento],S15)</f>
        <v>4.5840000000000005</v>
      </c>
      <c r="W15">
        <f>COUNTIFS(tb_manutencoes[id_equipamento],S15,tb_manutencoes[tipo_manutencao],"Corretiva")</f>
        <v>5</v>
      </c>
      <c r="X15">
        <f>SUMIFS(tb_manutencoes[horas_parado],tb_manutencoes[id_equipamento],S15)</f>
        <v>28</v>
      </c>
      <c r="Y15" s="9">
        <f>SUMIFS(tb_manutencoes[custo_reais],tb_manutencoes[id_equipamento],S15)</f>
        <v>4866</v>
      </c>
      <c r="Z15" t="str">
        <f t="shared" si="1"/>
        <v>Média</v>
      </c>
    </row>
    <row r="16" spans="1:29">
      <c r="E16" s="6" t="s">
        <v>36</v>
      </c>
      <c r="F16">
        <f>COUNTIFS(tb_leituras[id_equipamento],E16,tb_leituras[status],"Crítico")</f>
        <v>0</v>
      </c>
      <c r="N16" s="6" t="s">
        <v>18</v>
      </c>
      <c r="O16" s="9">
        <f>SUMIFS(tb_manutencoes[custo_reais],tb_manutencoes[id_equipamento],N16)</f>
        <v>1367</v>
      </c>
      <c r="P16">
        <f>SUMIFS(tb_manutencoes[horas_parado],tb_manutencoes[id_equipamento],N16)</f>
        <v>4</v>
      </c>
      <c r="Q16">
        <f>COUNTIFS(tb_manutencoes[id_equipamento],N16,tb_manutencoes[tipo_manutencao],"Corretiva")</f>
        <v>0</v>
      </c>
      <c r="S16" s="6" t="s">
        <v>42</v>
      </c>
      <c r="T16">
        <f>COUNTIFS(tb_leituras[id_equipamento],S16,tb_leituras[status],"Crítico")</f>
        <v>16</v>
      </c>
      <c r="U16">
        <f>AVERAGEIFS(tb_leituras[temperatura_c],tb_leituras[id_equipamento],S16)</f>
        <v>85.04</v>
      </c>
      <c r="V16">
        <f>AVERAGEIFS(tb_leituras[vibracao_mm_s],tb_leituras[id_equipamento],S16)</f>
        <v>7.6479999999999997</v>
      </c>
      <c r="W16">
        <f>COUNTIFS(tb_manutencoes[id_equipamento],S16,tb_manutencoes[tipo_manutencao],"Corretiva")</f>
        <v>6</v>
      </c>
      <c r="X16">
        <f>SUMIFS(tb_manutencoes[horas_parado],tb_manutencoes[id_equipamento],S16)</f>
        <v>34</v>
      </c>
      <c r="Y16" s="9">
        <f>SUMIFS(tb_manutencoes[custo_reais],tb_manutencoes[id_equipamento],S16)</f>
        <v>8063</v>
      </c>
      <c r="Z16" t="str">
        <f t="shared" si="1"/>
        <v>Alta</v>
      </c>
    </row>
    <row r="17" spans="5:26">
      <c r="E17" s="6" t="s">
        <v>38</v>
      </c>
      <c r="F17">
        <f>COUNTIFS(tb_leituras[id_equipamento],E17,tb_leituras[status],"Crítico")</f>
        <v>0</v>
      </c>
      <c r="N17" s="6" t="s">
        <v>20</v>
      </c>
      <c r="O17" s="9">
        <f>SUMIFS(tb_manutencoes[custo_reais],tb_manutencoes[id_equipamento],N17)</f>
        <v>1334</v>
      </c>
      <c r="P17">
        <f>SUMIFS(tb_manutencoes[horas_parado],tb_manutencoes[id_equipamento],N17)</f>
        <v>4</v>
      </c>
      <c r="Q17">
        <f>COUNTIFS(tb_manutencoes[id_equipamento],N17,tb_manutencoes[tipo_manutencao],"Corretiva")</f>
        <v>0</v>
      </c>
      <c r="S17" s="6" t="s">
        <v>45</v>
      </c>
      <c r="T17">
        <f>COUNTIFS(tb_leituras[id_equipamento],S17,tb_leituras[status],"Crítico")</f>
        <v>0</v>
      </c>
      <c r="U17">
        <f>AVERAGEIFS(tb_leituras[temperatura_c],tb_leituras[id_equipamento],S17)</f>
        <v>69.88</v>
      </c>
      <c r="V17">
        <f>AVERAGEIFS(tb_leituras[vibracao_mm_s],tb_leituras[id_equipamento],S17)</f>
        <v>4.644000000000001</v>
      </c>
      <c r="W17">
        <f>COUNTIFS(tb_manutencoes[id_equipamento],S17,tb_manutencoes[tipo_manutencao],"Corretiva")</f>
        <v>0</v>
      </c>
      <c r="X17">
        <f>SUMIFS(tb_manutencoes[horas_parado],tb_manutencoes[id_equipamento],S17)</f>
        <v>6</v>
      </c>
      <c r="Y17" s="9">
        <f>SUMIFS(tb_manutencoes[custo_reais],tb_manutencoes[id_equipamento],S17)</f>
        <v>1792</v>
      </c>
      <c r="Z17" t="str">
        <f t="shared" si="1"/>
        <v>Baixa</v>
      </c>
    </row>
    <row r="18" spans="5:26">
      <c r="E18" s="6" t="s">
        <v>45</v>
      </c>
      <c r="F18">
        <f>COUNTIFS(tb_leituras[id_equipamento],E18,tb_leituras[status],"Crítico")</f>
        <v>0</v>
      </c>
      <c r="N18" s="6" t="s">
        <v>55</v>
      </c>
      <c r="O18" s="9">
        <f>SUMIFS(tb_manutencoes[custo_reais],tb_manutencoes[id_equipamento],N18)</f>
        <v>1004</v>
      </c>
      <c r="P18">
        <f>SUMIFS(tb_manutencoes[horas_parado],tb_manutencoes[id_equipamento],N18)</f>
        <v>3</v>
      </c>
      <c r="Q18">
        <f>COUNTIFS(tb_manutencoes[id_equipamento],N18,tb_manutencoes[tipo_manutencao],"Corretiva")</f>
        <v>0</v>
      </c>
      <c r="S18" s="6" t="s">
        <v>47</v>
      </c>
      <c r="T18">
        <f>COUNTIFS(tb_leituras[id_equipamento],S18,tb_leituras[status],"Crítico")</f>
        <v>10</v>
      </c>
      <c r="U18">
        <f>AVERAGEIFS(tb_leituras[temperatura_c],tb_leituras[id_equipamento],S18)</f>
        <v>87.96</v>
      </c>
      <c r="V18">
        <f>AVERAGEIFS(tb_leituras[vibracao_mm_s],tb_leituras[id_equipamento],S18)</f>
        <v>7.5840000000000005</v>
      </c>
      <c r="W18">
        <f>COUNTIFS(tb_manutencoes[id_equipamento],S18,tb_manutencoes[tipo_manutencao],"Corretiva")</f>
        <v>3</v>
      </c>
      <c r="X18">
        <f>SUMIFS(tb_manutencoes[horas_parado],tb_manutencoes[id_equipamento],S18)</f>
        <v>25</v>
      </c>
      <c r="Y18" s="9">
        <f>SUMIFS(tb_manutencoes[custo_reais],tb_manutencoes[id_equipamento],S18)</f>
        <v>6657</v>
      </c>
      <c r="Z18" t="str">
        <f t="shared" si="1"/>
        <v>Alta</v>
      </c>
    </row>
    <row r="19" spans="5:26">
      <c r="E19" s="6" t="s">
        <v>50</v>
      </c>
      <c r="F19">
        <f>COUNTIFS(tb_leituras[id_equipamento],E19,tb_leituras[status],"Crítico")</f>
        <v>0</v>
      </c>
      <c r="N19" s="6" t="s">
        <v>50</v>
      </c>
      <c r="O19" s="9">
        <f>SUMIFS(tb_manutencoes[custo_reais],tb_manutencoes[id_equipamento],N19)</f>
        <v>962</v>
      </c>
      <c r="P19">
        <f>SUMIFS(tb_manutencoes[horas_parado],tb_manutencoes[id_equipamento],N19)</f>
        <v>1</v>
      </c>
      <c r="Q19">
        <f>COUNTIFS(tb_manutencoes[id_equipamento],N19,tb_manutencoes[tipo_manutencao],"Corretiva")</f>
        <v>0</v>
      </c>
      <c r="S19" s="6" t="s">
        <v>50</v>
      </c>
      <c r="T19">
        <f>COUNTIFS(tb_leituras[id_equipamento],S19,tb_leituras[status],"Crítico")</f>
        <v>0</v>
      </c>
      <c r="U19">
        <f>AVERAGEIFS(tb_leituras[temperatura_c],tb_leituras[id_equipamento],S19)</f>
        <v>75.84</v>
      </c>
      <c r="V19">
        <f>AVERAGEIFS(tb_leituras[vibracao_mm_s],tb_leituras[id_equipamento],S19)</f>
        <v>4.7680000000000007</v>
      </c>
      <c r="W19">
        <f>COUNTIFS(tb_manutencoes[id_equipamento],S19,tb_manutencoes[tipo_manutencao],"Corretiva")</f>
        <v>0</v>
      </c>
      <c r="X19">
        <f>SUMIFS(tb_manutencoes[horas_parado],tb_manutencoes[id_equipamento],S19)</f>
        <v>1</v>
      </c>
      <c r="Y19" s="9">
        <f>SUMIFS(tb_manutencoes[custo_reais],tb_manutencoes[id_equipamento],S19)</f>
        <v>962</v>
      </c>
      <c r="Z19" t="str">
        <f t="shared" si="1"/>
        <v>Baixa</v>
      </c>
    </row>
    <row r="20" spans="5:26">
      <c r="E20" s="6" t="s">
        <v>52</v>
      </c>
      <c r="F20">
        <f>COUNTIFS(tb_leituras[id_equipamento],E20,tb_leituras[status],"Crítico")</f>
        <v>0</v>
      </c>
      <c r="N20" s="6" t="s">
        <v>13</v>
      </c>
      <c r="O20" s="9">
        <f>SUMIFS(tb_manutencoes[custo_reais],tb_manutencoes[id_equipamento],N20)</f>
        <v>818</v>
      </c>
      <c r="P20">
        <f>SUMIFS(tb_manutencoes[horas_parado],tb_manutencoes[id_equipamento],N20)</f>
        <v>1</v>
      </c>
      <c r="Q20">
        <f>COUNTIFS(tb_manutencoes[id_equipamento],N20,tb_manutencoes[tipo_manutencao],"Corretiva")</f>
        <v>0</v>
      </c>
      <c r="S20" s="6" t="s">
        <v>52</v>
      </c>
      <c r="T20">
        <f>COUNTIFS(tb_leituras[id_equipamento],S20,tb_leituras[status],"Crítico")</f>
        <v>0</v>
      </c>
      <c r="U20">
        <f>AVERAGEIFS(tb_leituras[temperatura_c],tb_leituras[id_equipamento],S20)</f>
        <v>65.040000000000006</v>
      </c>
      <c r="V20">
        <f>AVERAGEIFS(tb_leituras[vibracao_mm_s],tb_leituras[id_equipamento],S20)</f>
        <v>4.7079999999999993</v>
      </c>
      <c r="W20">
        <f>COUNTIFS(tb_manutencoes[id_equipamento],S20,tb_manutencoes[tipo_manutencao],"Corretiva")</f>
        <v>1</v>
      </c>
      <c r="X20">
        <f>SUMIFS(tb_manutencoes[horas_parado],tb_manutencoes[id_equipamento],S20)</f>
        <v>8</v>
      </c>
      <c r="Y20" s="9">
        <f>SUMIFS(tb_manutencoes[custo_reais],tb_manutencoes[id_equipamento],S20)</f>
        <v>1505</v>
      </c>
      <c r="Z20" t="str">
        <f t="shared" si="1"/>
        <v>Baixa</v>
      </c>
    </row>
    <row r="21" spans="5:26">
      <c r="E21" s="6" t="s">
        <v>55</v>
      </c>
      <c r="F21">
        <f>COUNTIFS(tb_leituras[id_equipamento],E21,tb_leituras[status],"Crítico")</f>
        <v>0</v>
      </c>
      <c r="N21" s="6" t="s">
        <v>57</v>
      </c>
      <c r="O21" s="9">
        <f>SUMIFS(tb_manutencoes[custo_reais],tb_manutencoes[id_equipamento],N21)</f>
        <v>672</v>
      </c>
      <c r="P21">
        <f>SUMIFS(tb_manutencoes[horas_parado],tb_manutencoes[id_equipamento],N21)</f>
        <v>2</v>
      </c>
      <c r="Q21">
        <f>COUNTIFS(tb_manutencoes[id_equipamento],N21,tb_manutencoes[tipo_manutencao],"Corretiva")</f>
        <v>0</v>
      </c>
      <c r="S21" s="6" t="s">
        <v>55</v>
      </c>
      <c r="T21">
        <f>COUNTIFS(tb_leituras[id_equipamento],S21,tb_leituras[status],"Crítico")</f>
        <v>0</v>
      </c>
      <c r="U21">
        <f>AVERAGEIFS(tb_leituras[temperatura_c],tb_leituras[id_equipamento],S21)</f>
        <v>64.12</v>
      </c>
      <c r="V21">
        <f>AVERAGEIFS(tb_leituras[vibracao_mm_s],tb_leituras[id_equipamento],S21)</f>
        <v>4.7720000000000002</v>
      </c>
      <c r="W21">
        <f>COUNTIFS(tb_manutencoes[id_equipamento],S21,tb_manutencoes[tipo_manutencao],"Corretiva")</f>
        <v>0</v>
      </c>
      <c r="X21">
        <f>SUMIFS(tb_manutencoes[horas_parado],tb_manutencoes[id_equipamento],S21)</f>
        <v>3</v>
      </c>
      <c r="Y21" s="9">
        <f>SUMIFS(tb_manutencoes[custo_reais],tb_manutencoes[id_equipamento],S21)</f>
        <v>1004</v>
      </c>
      <c r="Z21" t="str">
        <f t="shared" si="1"/>
        <v>Baixa</v>
      </c>
    </row>
    <row r="22" spans="5:26">
      <c r="E22" s="6" t="s">
        <v>57</v>
      </c>
      <c r="F22">
        <f>COUNTIFS(tb_leituras[id_equipamento],E22,tb_leituras[status],"Crítico")</f>
        <v>0</v>
      </c>
      <c r="N22" s="6" t="s">
        <v>33</v>
      </c>
      <c r="O22" s="9">
        <f>SUMIFS(tb_manutencoes[custo_reais],tb_manutencoes[id_equipamento],N22)</f>
        <v>565</v>
      </c>
      <c r="P22">
        <f>SUMIFS(tb_manutencoes[horas_parado],tb_manutencoes[id_equipamento],N22)</f>
        <v>3</v>
      </c>
      <c r="Q22">
        <f>COUNTIFS(tb_manutencoes[id_equipamento],N22,tb_manutencoes[tipo_manutencao],"Corretiva")</f>
        <v>1</v>
      </c>
      <c r="S22" s="6" t="s">
        <v>57</v>
      </c>
      <c r="T22">
        <f>COUNTIFS(tb_leituras[id_equipamento],S22,tb_leituras[status],"Crítico")</f>
        <v>0</v>
      </c>
      <c r="U22">
        <f>AVERAGEIFS(tb_leituras[temperatura_c],tb_leituras[id_equipamento],S22)</f>
        <v>49.44</v>
      </c>
      <c r="V22">
        <f>AVERAGEIFS(tb_leituras[vibracao_mm_s],tb_leituras[id_equipamento],S22)</f>
        <v>4.5000000000000009</v>
      </c>
      <c r="W22">
        <f>COUNTIFS(tb_manutencoes[id_equipamento],S22,tb_manutencoes[tipo_manutencao],"Corretiva")</f>
        <v>0</v>
      </c>
      <c r="X22">
        <f>SUMIFS(tb_manutencoes[horas_parado],tb_manutencoes[id_equipamento],S22)</f>
        <v>2</v>
      </c>
      <c r="Y22" s="9">
        <f>SUMIFS(tb_manutencoes[custo_reais],tb_manutencoes[id_equipamento],S22)</f>
        <v>672</v>
      </c>
      <c r="Z22" t="str">
        <f t="shared" si="1"/>
        <v>Baixa</v>
      </c>
    </row>
    <row r="23" spans="5:26">
      <c r="E23" s="6" t="s">
        <v>60</v>
      </c>
      <c r="F23">
        <f>COUNTIFS(tb_leituras[id_equipamento],E23,tb_leituras[status],"Crítico")</f>
        <v>0</v>
      </c>
      <c r="N23" s="6" t="s">
        <v>60</v>
      </c>
      <c r="O23" s="9">
        <f>SUMIFS(tb_manutencoes[custo_reais],tb_manutencoes[id_equipamento],N23)</f>
        <v>0</v>
      </c>
      <c r="P23">
        <f>SUMIFS(tb_manutencoes[horas_parado],tb_manutencoes[id_equipamento],N23)</f>
        <v>0</v>
      </c>
      <c r="Q23">
        <f>COUNTIFS(tb_manutencoes[id_equipamento],N23,tb_manutencoes[tipo_manutencao],"Corretiva")</f>
        <v>0</v>
      </c>
      <c r="S23" s="6" t="s">
        <v>60</v>
      </c>
      <c r="T23">
        <f>COUNTIFS(tb_leituras[id_equipamento],S23,tb_leituras[status],"Crítico")</f>
        <v>0</v>
      </c>
      <c r="U23">
        <f>AVERAGEIFS(tb_leituras[temperatura_c],tb_leituras[id_equipamento],S23)</f>
        <v>51.16</v>
      </c>
      <c r="V23">
        <f>AVERAGEIFS(tb_leituras[vibracao_mm_s],tb_leituras[id_equipamento],S23)</f>
        <v>4.6360000000000001</v>
      </c>
      <c r="W23">
        <f>COUNTIFS(tb_manutencoes[id_equipamento],S23,tb_manutencoes[tipo_manutencao],"Corretiva")</f>
        <v>0</v>
      </c>
      <c r="X23">
        <f>SUMIFS(tb_manutencoes[horas_parado],tb_manutencoes[id_equipamento],S23)</f>
        <v>0</v>
      </c>
      <c r="Y23" s="9">
        <f>SUMIFS(tb_manutencoes[custo_reais],tb_manutencoes[id_equipamento],S23)</f>
        <v>0</v>
      </c>
      <c r="Z23" t="str">
        <f t="shared" si="1"/>
        <v>Baixa</v>
      </c>
    </row>
    <row r="25" spans="5:26">
      <c r="E25" s="6" t="s">
        <v>743</v>
      </c>
      <c r="F25">
        <f>SUM(F4:F23)</f>
        <v>40</v>
      </c>
      <c r="N25" t="s">
        <v>744</v>
      </c>
      <c r="O25" s="9">
        <f>SUM(O4:O23)</f>
        <v>65814</v>
      </c>
      <c r="P25">
        <f>SUM(P4:P23)</f>
        <v>242</v>
      </c>
      <c r="Q25">
        <f>SUM(Q4:Q23)</f>
        <v>30</v>
      </c>
    </row>
    <row r="26" spans="5:26">
      <c r="N26" s="9"/>
    </row>
  </sheetData>
  <sortState xmlns:xlrd2="http://schemas.microsoft.com/office/spreadsheetml/2017/richdata2" ref="N4:Q23">
    <sortCondition descending="1" ref="O4:O2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 Almeida</cp:lastModifiedBy>
  <cp:revision/>
  <dcterms:created xsi:type="dcterms:W3CDTF">2026-10-05T17:23:34Z</dcterms:created>
  <dcterms:modified xsi:type="dcterms:W3CDTF">2026-10-09T12:22:00Z</dcterms:modified>
  <cp:category/>
  <cp:contentStatus/>
</cp:coreProperties>
</file>